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THESIS SCRIPTING\R\INPUT DATA\ORIGINAL\NOT ENAHO\ENDES\"/>
    </mc:Choice>
  </mc:AlternateContent>
  <xr:revisionPtr revIDLastSave="0" documentId="13_ncr:1_{18BAE069-E381-46D9-A295-22B7B707CA91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children_tra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" i="1" l="1"/>
  <c r="E18" i="1" s="1"/>
  <c r="E13" i="1"/>
  <c r="E12" i="1" s="1"/>
  <c r="E7" i="1"/>
  <c r="D7" i="1" s="1"/>
  <c r="E31" i="1"/>
  <c r="E30" i="1" s="1"/>
  <c r="E37" i="1"/>
  <c r="E36" i="1" s="1"/>
  <c r="E43" i="1"/>
  <c r="D43" i="1" s="1"/>
  <c r="E49" i="1"/>
  <c r="E48" i="1" s="1"/>
  <c r="E55" i="1"/>
  <c r="E54" i="1" s="1"/>
  <c r="E61" i="1"/>
  <c r="E60" i="1" s="1"/>
  <c r="E67" i="1"/>
  <c r="E66" i="1" s="1"/>
  <c r="E72" i="1"/>
  <c r="E71" i="1" s="1"/>
  <c r="E73" i="1"/>
  <c r="E79" i="1"/>
  <c r="E78" i="1" s="1"/>
  <c r="E85" i="1"/>
  <c r="E84" i="1" s="1"/>
  <c r="E91" i="1"/>
  <c r="E90" i="1" s="1"/>
  <c r="E97" i="1"/>
  <c r="E96" i="1" s="1"/>
  <c r="E95" i="1" s="1"/>
  <c r="E103" i="1"/>
  <c r="E102" i="1" s="1"/>
  <c r="E109" i="1"/>
  <c r="E108" i="1" s="1"/>
  <c r="E115" i="1"/>
  <c r="E114" i="1" s="1"/>
  <c r="E120" i="1"/>
  <c r="E119" i="1" s="1"/>
  <c r="E121" i="1"/>
  <c r="E127" i="1"/>
  <c r="E126" i="1" s="1"/>
  <c r="E133" i="1"/>
  <c r="E132" i="1" s="1"/>
  <c r="E139" i="1"/>
  <c r="E138" i="1" s="1"/>
  <c r="E145" i="1"/>
  <c r="E144" i="1" s="1"/>
  <c r="E143" i="1" s="1"/>
  <c r="E151" i="1"/>
  <c r="E150" i="1" s="1"/>
  <c r="E157" i="1"/>
  <c r="E156" i="1" s="1"/>
  <c r="E163" i="1"/>
  <c r="D163" i="1" s="1"/>
  <c r="E168" i="1"/>
  <c r="E167" i="1" s="1"/>
  <c r="E169" i="1"/>
  <c r="E175" i="1"/>
  <c r="D175" i="1" s="1"/>
  <c r="E181" i="1"/>
  <c r="E180" i="1" s="1"/>
  <c r="E187" i="1"/>
  <c r="D187" i="1" s="1"/>
  <c r="E193" i="1"/>
  <c r="E192" i="1" s="1"/>
  <c r="E199" i="1"/>
  <c r="E198" i="1" s="1"/>
  <c r="E205" i="1"/>
  <c r="E204" i="1" s="1"/>
  <c r="E211" i="1"/>
  <c r="D211" i="1" s="1"/>
  <c r="E25" i="1"/>
  <c r="E24" i="1" s="1"/>
  <c r="D37" i="1"/>
  <c r="D49" i="1"/>
  <c r="D55" i="1"/>
  <c r="D61" i="1"/>
  <c r="D67" i="1"/>
  <c r="D72" i="1"/>
  <c r="D73" i="1"/>
  <c r="D79" i="1"/>
  <c r="D85" i="1"/>
  <c r="D91" i="1"/>
  <c r="D97" i="1"/>
  <c r="D109" i="1"/>
  <c r="D121" i="1"/>
  <c r="D133" i="1"/>
  <c r="D145" i="1"/>
  <c r="D157" i="1"/>
  <c r="D169" i="1"/>
  <c r="D181" i="1"/>
  <c r="D193" i="1"/>
  <c r="D199" i="1"/>
  <c r="D205" i="1"/>
  <c r="E47" i="1" l="1"/>
  <c r="D48" i="1"/>
  <c r="E191" i="1"/>
  <c r="D192" i="1"/>
  <c r="E17" i="1"/>
  <c r="E16" i="1" s="1"/>
  <c r="E15" i="1" s="1"/>
  <c r="E14" i="1" s="1"/>
  <c r="D18" i="1"/>
  <c r="D19" i="1"/>
  <c r="D12" i="1"/>
  <c r="E11" i="1"/>
  <c r="D13" i="1"/>
  <c r="E6" i="1"/>
  <c r="E179" i="1"/>
  <c r="D180" i="1"/>
  <c r="E65" i="1"/>
  <c r="D66" i="1"/>
  <c r="E137" i="1"/>
  <c r="D138" i="1"/>
  <c r="E94" i="1"/>
  <c r="D95" i="1"/>
  <c r="E203" i="1"/>
  <c r="D204" i="1"/>
  <c r="E125" i="1"/>
  <c r="D126" i="1"/>
  <c r="D47" i="1"/>
  <c r="E46" i="1"/>
  <c r="E101" i="1"/>
  <c r="D102" i="1"/>
  <c r="E59" i="1"/>
  <c r="D60" i="1"/>
  <c r="E131" i="1"/>
  <c r="D132" i="1"/>
  <c r="E53" i="1"/>
  <c r="D54" i="1"/>
  <c r="E166" i="1"/>
  <c r="D167" i="1"/>
  <c r="E89" i="1"/>
  <c r="D90" i="1"/>
  <c r="E197" i="1"/>
  <c r="D198" i="1"/>
  <c r="E83" i="1"/>
  <c r="D84" i="1"/>
  <c r="E155" i="1"/>
  <c r="D156" i="1"/>
  <c r="E118" i="1"/>
  <c r="D119" i="1"/>
  <c r="E77" i="1"/>
  <c r="D78" i="1"/>
  <c r="E142" i="1"/>
  <c r="D143" i="1"/>
  <c r="D191" i="1"/>
  <c r="E190" i="1"/>
  <c r="E149" i="1"/>
  <c r="D150" i="1"/>
  <c r="E113" i="1"/>
  <c r="D114" i="1"/>
  <c r="E35" i="1"/>
  <c r="D36" i="1"/>
  <c r="D108" i="1"/>
  <c r="E107" i="1"/>
  <c r="D71" i="1"/>
  <c r="E70" i="1"/>
  <c r="D30" i="1"/>
  <c r="E29" i="1"/>
  <c r="D139" i="1"/>
  <c r="D115" i="1"/>
  <c r="E210" i="1"/>
  <c r="E186" i="1"/>
  <c r="E162" i="1"/>
  <c r="E42" i="1"/>
  <c r="D31" i="1"/>
  <c r="D151" i="1"/>
  <c r="D127" i="1"/>
  <c r="D103" i="1"/>
  <c r="E174" i="1"/>
  <c r="D168" i="1"/>
  <c r="D144" i="1"/>
  <c r="D120" i="1"/>
  <c r="D96" i="1"/>
  <c r="D24" i="1"/>
  <c r="E23" i="1"/>
  <c r="D23" i="1" s="1"/>
  <c r="D25" i="1"/>
  <c r="D16" i="1" l="1"/>
  <c r="D17" i="1"/>
  <c r="E10" i="1"/>
  <c r="E9" i="1" s="1"/>
  <c r="E8" i="1" s="1"/>
  <c r="D11" i="1"/>
  <c r="D6" i="1"/>
  <c r="E5" i="1"/>
  <c r="E189" i="1"/>
  <c r="D190" i="1"/>
  <c r="D174" i="1"/>
  <c r="E173" i="1"/>
  <c r="D210" i="1"/>
  <c r="E209" i="1"/>
  <c r="E154" i="1"/>
  <c r="D155" i="1"/>
  <c r="E165" i="1"/>
  <c r="D166" i="1"/>
  <c r="E100" i="1"/>
  <c r="D101" i="1"/>
  <c r="E93" i="1"/>
  <c r="D94" i="1"/>
  <c r="E106" i="1"/>
  <c r="D107" i="1"/>
  <c r="E45" i="1"/>
  <c r="D46" i="1"/>
  <c r="D35" i="1"/>
  <c r="E34" i="1"/>
  <c r="E141" i="1"/>
  <c r="D142" i="1"/>
  <c r="D83" i="1"/>
  <c r="E82" i="1"/>
  <c r="E52" i="1"/>
  <c r="D53" i="1"/>
  <c r="E136" i="1"/>
  <c r="D137" i="1"/>
  <c r="D186" i="1"/>
  <c r="E185" i="1"/>
  <c r="E28" i="1"/>
  <c r="D29" i="1"/>
  <c r="E112" i="1"/>
  <c r="D113" i="1"/>
  <c r="E124" i="1"/>
  <c r="D125" i="1"/>
  <c r="E69" i="1"/>
  <c r="D70" i="1"/>
  <c r="E76" i="1"/>
  <c r="D77" i="1"/>
  <c r="E196" i="1"/>
  <c r="D197" i="1"/>
  <c r="E130" i="1"/>
  <c r="D131" i="1"/>
  <c r="E64" i="1"/>
  <c r="D65" i="1"/>
  <c r="D42" i="1"/>
  <c r="E41" i="1"/>
  <c r="E161" i="1"/>
  <c r="D162" i="1"/>
  <c r="E148" i="1"/>
  <c r="D149" i="1"/>
  <c r="E117" i="1"/>
  <c r="D118" i="1"/>
  <c r="E88" i="1"/>
  <c r="D89" i="1"/>
  <c r="D59" i="1"/>
  <c r="E58" i="1"/>
  <c r="D203" i="1"/>
  <c r="E202" i="1"/>
  <c r="E178" i="1"/>
  <c r="D179" i="1"/>
  <c r="E22" i="1"/>
  <c r="D22" i="1" s="1"/>
  <c r="E21" i="1"/>
  <c r="E20" i="1" s="1"/>
  <c r="D20" i="1" s="1"/>
  <c r="D14" i="1"/>
  <c r="D15" i="1"/>
  <c r="D10" i="1" l="1"/>
  <c r="E4" i="1"/>
  <c r="D5" i="1"/>
  <c r="E195" i="1"/>
  <c r="D196" i="1"/>
  <c r="D41" i="1"/>
  <c r="E40" i="1"/>
  <c r="E81" i="1"/>
  <c r="D82" i="1"/>
  <c r="D161" i="1"/>
  <c r="E160" i="1"/>
  <c r="E87" i="1"/>
  <c r="D88" i="1"/>
  <c r="E75" i="1"/>
  <c r="D76" i="1"/>
  <c r="E27" i="1"/>
  <c r="D28" i="1"/>
  <c r="E105" i="1"/>
  <c r="D106" i="1"/>
  <c r="E153" i="1"/>
  <c r="D154" i="1"/>
  <c r="E177" i="1"/>
  <c r="D178" i="1"/>
  <c r="E140" i="1"/>
  <c r="D140" i="1" s="1"/>
  <c r="D141" i="1"/>
  <c r="E68" i="1"/>
  <c r="D68" i="1" s="1"/>
  <c r="D69" i="1"/>
  <c r="E92" i="1"/>
  <c r="D92" i="1" s="1"/>
  <c r="D93" i="1"/>
  <c r="D202" i="1"/>
  <c r="E201" i="1"/>
  <c r="D34" i="1"/>
  <c r="E33" i="1"/>
  <c r="D173" i="1"/>
  <c r="E172" i="1"/>
  <c r="D185" i="1"/>
  <c r="E184" i="1"/>
  <c r="E116" i="1"/>
  <c r="D116" i="1" s="1"/>
  <c r="D117" i="1"/>
  <c r="D124" i="1"/>
  <c r="E123" i="1"/>
  <c r="D64" i="1"/>
  <c r="E63" i="1"/>
  <c r="E147" i="1"/>
  <c r="D148" i="1"/>
  <c r="E129" i="1"/>
  <c r="D130" i="1"/>
  <c r="E135" i="1"/>
  <c r="D136" i="1"/>
  <c r="E99" i="1"/>
  <c r="D100" i="1"/>
  <c r="D58" i="1"/>
  <c r="E57" i="1"/>
  <c r="D209" i="1"/>
  <c r="E208" i="1"/>
  <c r="E111" i="1"/>
  <c r="D112" i="1"/>
  <c r="E51" i="1"/>
  <c r="D52" i="1"/>
  <c r="D45" i="1"/>
  <c r="E44" i="1"/>
  <c r="E164" i="1"/>
  <c r="D164" i="1" s="1"/>
  <c r="D165" i="1"/>
  <c r="E188" i="1"/>
  <c r="D188" i="1" s="1"/>
  <c r="D189" i="1"/>
  <c r="D21" i="1"/>
  <c r="D8" i="1"/>
  <c r="D9" i="1"/>
  <c r="E3" i="1" l="1"/>
  <c r="D4" i="1"/>
  <c r="D147" i="1"/>
  <c r="E146" i="1"/>
  <c r="D146" i="1" s="1"/>
  <c r="E152" i="1"/>
  <c r="D152" i="1" s="1"/>
  <c r="D153" i="1"/>
  <c r="E194" i="1"/>
  <c r="D194" i="1" s="1"/>
  <c r="D195" i="1"/>
  <c r="D63" i="1"/>
  <c r="E62" i="1"/>
  <c r="D62" i="1" s="1"/>
  <c r="E171" i="1"/>
  <c r="D172" i="1"/>
  <c r="E159" i="1"/>
  <c r="D160" i="1"/>
  <c r="E86" i="1"/>
  <c r="D86" i="1" s="1"/>
  <c r="D87" i="1"/>
  <c r="E50" i="1"/>
  <c r="D50" i="1" s="1"/>
  <c r="D51" i="1"/>
  <c r="E98" i="1"/>
  <c r="D98" i="1" s="1"/>
  <c r="D99" i="1"/>
  <c r="E104" i="1"/>
  <c r="D104" i="1" s="1"/>
  <c r="D105" i="1"/>
  <c r="D123" i="1"/>
  <c r="E122" i="1"/>
  <c r="D122" i="1" s="1"/>
  <c r="E110" i="1"/>
  <c r="D110" i="1" s="1"/>
  <c r="D111" i="1"/>
  <c r="D27" i="1"/>
  <c r="E26" i="1"/>
  <c r="D26" i="1" s="1"/>
  <c r="D201" i="1"/>
  <c r="E200" i="1"/>
  <c r="D200" i="1" s="1"/>
  <c r="E39" i="1"/>
  <c r="D40" i="1"/>
  <c r="D33" i="1"/>
  <c r="E32" i="1"/>
  <c r="D32" i="1" s="1"/>
  <c r="E134" i="1"/>
  <c r="D134" i="1" s="1"/>
  <c r="D135" i="1"/>
  <c r="E80" i="1"/>
  <c r="D80" i="1" s="1"/>
  <c r="D81" i="1"/>
  <c r="D208" i="1"/>
  <c r="E207" i="1"/>
  <c r="D129" i="1"/>
  <c r="E128" i="1"/>
  <c r="D128" i="1" s="1"/>
  <c r="D177" i="1"/>
  <c r="E176" i="1"/>
  <c r="E74" i="1"/>
  <c r="D74" i="1" s="1"/>
  <c r="D75" i="1"/>
  <c r="E56" i="1"/>
  <c r="D56" i="1" s="1"/>
  <c r="D57" i="1"/>
  <c r="E183" i="1"/>
  <c r="D184" i="1"/>
  <c r="D44" i="1"/>
  <c r="D176" i="1"/>
  <c r="E2" i="1" l="1"/>
  <c r="D2" i="1" s="1"/>
  <c r="D3" i="1"/>
  <c r="D171" i="1"/>
  <c r="E170" i="1"/>
  <c r="D170" i="1" s="1"/>
  <c r="E158" i="1"/>
  <c r="D158" i="1" s="1"/>
  <c r="D159" i="1"/>
  <c r="E182" i="1"/>
  <c r="D182" i="1" s="1"/>
  <c r="D183" i="1"/>
  <c r="D207" i="1"/>
  <c r="E206" i="1"/>
  <c r="D206" i="1" s="1"/>
  <c r="E38" i="1"/>
  <c r="D38" i="1" s="1"/>
  <c r="D39" i="1"/>
</calcChain>
</file>

<file path=xl/sharedStrings.xml><?xml version="1.0" encoding="utf-8"?>
<sst xmlns="http://schemas.openxmlformats.org/spreadsheetml/2006/main" count="429" uniqueCount="19">
  <si>
    <t>Age_cat</t>
  </si>
  <si>
    <t>Year</t>
  </si>
  <si>
    <t>10+</t>
  </si>
  <si>
    <t xml:space="preserve">15-19 </t>
  </si>
  <si>
    <t xml:space="preserve">20-24 </t>
  </si>
  <si>
    <t xml:space="preserve">25-29 </t>
  </si>
  <si>
    <t xml:space="preserve">30-34 </t>
  </si>
  <si>
    <t xml:space="preserve">35-39 </t>
  </si>
  <si>
    <t xml:space="preserve">40-44 </t>
  </si>
  <si>
    <t xml:space="preserve">45-49 </t>
  </si>
  <si>
    <t>Curr_child</t>
  </si>
  <si>
    <t>30-34</t>
  </si>
  <si>
    <t>35-39</t>
  </si>
  <si>
    <t>40-44</t>
  </si>
  <si>
    <t>45-49</t>
  </si>
  <si>
    <t>20-24</t>
  </si>
  <si>
    <t>25-29</t>
  </si>
  <si>
    <t>15-19</t>
  </si>
  <si>
    <t>Add_child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</si>
</sst>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workbookViewId="0">
      <selection activeCell="E2" sqref="E2"/>
    </sheetView>
  </sheetViews>
  <sheetFormatPr defaultRowHeight="14.4" x14ac:dyDescent="0.3"/>
  <cols>
    <col min="3" max="4" width="9" customWidth="1"/>
  </cols>
  <sheetData>
    <row r="1" spans="1:15" x14ac:dyDescent="0.3">
      <c r="A1" t="s">
        <v>0</v>
      </c>
      <c r="B1" t="s">
        <v>10</v>
      </c>
      <c r="C1" t="s">
        <v>1</v>
      </c>
      <c r="D1" s="2">
        <v>0</v>
      </c>
      <c r="E1" s="1" t="s">
        <v>18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 t="s">
        <v>2</v>
      </c>
    </row>
    <row r="2" spans="1:15" x14ac:dyDescent="0.3">
      <c r="A2" t="s">
        <v>3</v>
      </c>
      <c r="B2">
        <v>0</v>
      </c>
      <c r="C2">
        <v>2015</v>
      </c>
      <c r="D2">
        <f>100-E2</f>
        <v>89.4</v>
      </c>
      <c r="E2">
        <f>F2+E3</f>
        <v>10.6</v>
      </c>
      <c r="F2">
        <v>9.5</v>
      </c>
      <c r="G2">
        <v>1.1000000000000001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">
      <c r="A3" t="s">
        <v>3</v>
      </c>
      <c r="B3">
        <v>1</v>
      </c>
      <c r="C3">
        <v>2015</v>
      </c>
      <c r="D3">
        <f t="shared" ref="D3:D66" si="0">100-E3</f>
        <v>98.9</v>
      </c>
      <c r="E3">
        <f>G2+E4</f>
        <v>1.1000000000000001</v>
      </c>
    </row>
    <row r="4" spans="1:15" x14ac:dyDescent="0.3">
      <c r="A4" t="s">
        <v>17</v>
      </c>
      <c r="B4">
        <v>2</v>
      </c>
      <c r="C4">
        <v>2015</v>
      </c>
      <c r="D4">
        <f t="shared" si="0"/>
        <v>100</v>
      </c>
      <c r="E4">
        <f>H2+E5</f>
        <v>0</v>
      </c>
    </row>
    <row r="5" spans="1:15" x14ac:dyDescent="0.3">
      <c r="A5" t="s">
        <v>17</v>
      </c>
      <c r="B5">
        <v>3</v>
      </c>
      <c r="C5">
        <v>2015</v>
      </c>
      <c r="D5">
        <f t="shared" si="0"/>
        <v>100</v>
      </c>
      <c r="E5">
        <f>I2+E6</f>
        <v>0</v>
      </c>
    </row>
    <row r="6" spans="1:15" x14ac:dyDescent="0.3">
      <c r="A6" t="s">
        <v>17</v>
      </c>
      <c r="B6">
        <v>4</v>
      </c>
      <c r="C6">
        <v>2015</v>
      </c>
      <c r="D6">
        <f t="shared" si="0"/>
        <v>100</v>
      </c>
      <c r="E6">
        <f>J2+E7</f>
        <v>0</v>
      </c>
    </row>
    <row r="7" spans="1:15" x14ac:dyDescent="0.3">
      <c r="A7" t="s">
        <v>17</v>
      </c>
      <c r="B7">
        <v>5</v>
      </c>
      <c r="C7">
        <v>2015</v>
      </c>
      <c r="D7">
        <f t="shared" si="0"/>
        <v>100</v>
      </c>
      <c r="E7">
        <f>SUM(K2:O2)</f>
        <v>0</v>
      </c>
    </row>
    <row r="8" spans="1:15" x14ac:dyDescent="0.3">
      <c r="A8" t="s">
        <v>4</v>
      </c>
      <c r="B8">
        <v>0</v>
      </c>
      <c r="C8">
        <v>2015</v>
      </c>
      <c r="D8">
        <f t="shared" si="0"/>
        <v>53</v>
      </c>
      <c r="E8">
        <f>F8+E9</f>
        <v>47</v>
      </c>
      <c r="F8">
        <v>32.299999999999997</v>
      </c>
      <c r="G8">
        <v>11.7</v>
      </c>
      <c r="H8">
        <v>2.6</v>
      </c>
      <c r="I8">
        <v>0.4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">
      <c r="A9" t="s">
        <v>4</v>
      </c>
      <c r="B9">
        <v>1</v>
      </c>
      <c r="C9">
        <v>2015</v>
      </c>
      <c r="D9">
        <f t="shared" si="0"/>
        <v>85.3</v>
      </c>
      <c r="E9">
        <f>G8+E10</f>
        <v>14.7</v>
      </c>
    </row>
    <row r="10" spans="1:15" x14ac:dyDescent="0.3">
      <c r="A10" t="s">
        <v>4</v>
      </c>
      <c r="B10">
        <v>2</v>
      </c>
      <c r="C10">
        <v>2015</v>
      </c>
      <c r="D10">
        <f t="shared" si="0"/>
        <v>97</v>
      </c>
      <c r="E10">
        <f>H8+E11</f>
        <v>3</v>
      </c>
    </row>
    <row r="11" spans="1:15" x14ac:dyDescent="0.3">
      <c r="A11" t="s">
        <v>4</v>
      </c>
      <c r="B11">
        <v>3</v>
      </c>
      <c r="C11">
        <v>2015</v>
      </c>
      <c r="D11">
        <f t="shared" si="0"/>
        <v>99.6</v>
      </c>
      <c r="E11">
        <f>I8+E12</f>
        <v>0.4</v>
      </c>
    </row>
    <row r="12" spans="1:15" x14ac:dyDescent="0.3">
      <c r="A12" t="s">
        <v>15</v>
      </c>
      <c r="B12">
        <v>4</v>
      </c>
      <c r="C12">
        <v>2015</v>
      </c>
      <c r="D12">
        <f t="shared" si="0"/>
        <v>100</v>
      </c>
      <c r="E12">
        <f>J8+E13</f>
        <v>0</v>
      </c>
    </row>
    <row r="13" spans="1:15" x14ac:dyDescent="0.3">
      <c r="A13" t="s">
        <v>15</v>
      </c>
      <c r="B13">
        <v>5</v>
      </c>
      <c r="C13">
        <v>2015</v>
      </c>
      <c r="D13">
        <f t="shared" si="0"/>
        <v>100</v>
      </c>
      <c r="E13">
        <f>SUM(K8:O8)</f>
        <v>0</v>
      </c>
    </row>
    <row r="14" spans="1:15" x14ac:dyDescent="0.3">
      <c r="A14" t="s">
        <v>5</v>
      </c>
      <c r="B14">
        <v>0</v>
      </c>
      <c r="C14">
        <v>2015</v>
      </c>
      <c r="D14">
        <f t="shared" si="0"/>
        <v>26.299999999999997</v>
      </c>
      <c r="E14">
        <f>F14+E15</f>
        <v>73.7</v>
      </c>
      <c r="F14">
        <v>32.799999999999997</v>
      </c>
      <c r="G14">
        <v>26.6</v>
      </c>
      <c r="H14">
        <v>10.1</v>
      </c>
      <c r="I14">
        <v>3.1</v>
      </c>
      <c r="J14">
        <v>0.9</v>
      </c>
      <c r="K14">
        <v>0.2</v>
      </c>
      <c r="L14">
        <v>0</v>
      </c>
      <c r="M14">
        <v>0</v>
      </c>
      <c r="N14">
        <v>0</v>
      </c>
      <c r="O14">
        <v>0</v>
      </c>
    </row>
    <row r="15" spans="1:15" x14ac:dyDescent="0.3">
      <c r="A15" t="s">
        <v>5</v>
      </c>
      <c r="B15">
        <v>1</v>
      </c>
      <c r="C15">
        <v>2015</v>
      </c>
      <c r="D15">
        <f t="shared" si="0"/>
        <v>59.099999999999994</v>
      </c>
      <c r="E15">
        <f>G14+E16</f>
        <v>40.900000000000006</v>
      </c>
    </row>
    <row r="16" spans="1:15" x14ac:dyDescent="0.3">
      <c r="A16" t="s">
        <v>5</v>
      </c>
      <c r="B16">
        <v>2</v>
      </c>
      <c r="C16">
        <v>2015</v>
      </c>
      <c r="D16">
        <f t="shared" si="0"/>
        <v>85.7</v>
      </c>
      <c r="E16">
        <f>H14+E17</f>
        <v>14.3</v>
      </c>
    </row>
    <row r="17" spans="1:15" x14ac:dyDescent="0.3">
      <c r="A17" t="s">
        <v>5</v>
      </c>
      <c r="B17">
        <v>3</v>
      </c>
      <c r="C17">
        <v>2015</v>
      </c>
      <c r="D17">
        <f t="shared" si="0"/>
        <v>95.8</v>
      </c>
      <c r="E17">
        <f>I14+E18</f>
        <v>4.2</v>
      </c>
    </row>
    <row r="18" spans="1:15" x14ac:dyDescent="0.3">
      <c r="A18" t="s">
        <v>5</v>
      </c>
      <c r="B18">
        <v>4</v>
      </c>
      <c r="C18">
        <v>2015</v>
      </c>
      <c r="D18">
        <f t="shared" si="0"/>
        <v>98.9</v>
      </c>
      <c r="E18">
        <f>J14+E19</f>
        <v>1.1000000000000001</v>
      </c>
    </row>
    <row r="19" spans="1:15" x14ac:dyDescent="0.3">
      <c r="A19" t="s">
        <v>5</v>
      </c>
      <c r="B19">
        <v>5</v>
      </c>
      <c r="C19">
        <v>2015</v>
      </c>
      <c r="D19">
        <f t="shared" si="0"/>
        <v>99.8</v>
      </c>
      <c r="E19">
        <f>SUM(K14:O14)</f>
        <v>0.2</v>
      </c>
    </row>
    <row r="20" spans="1:15" x14ac:dyDescent="0.3">
      <c r="A20" t="s">
        <v>6</v>
      </c>
      <c r="B20">
        <v>0</v>
      </c>
      <c r="C20">
        <v>2015</v>
      </c>
      <c r="D20">
        <f t="shared" si="0"/>
        <v>13</v>
      </c>
      <c r="E20">
        <f>F20+E21</f>
        <v>87</v>
      </c>
      <c r="F20">
        <v>24.4</v>
      </c>
      <c r="G20">
        <v>31.3</v>
      </c>
      <c r="H20">
        <v>18.399999999999999</v>
      </c>
      <c r="I20">
        <v>7.8</v>
      </c>
      <c r="J20">
        <v>3.1</v>
      </c>
      <c r="K20">
        <v>1.4</v>
      </c>
      <c r="L20">
        <v>0.4</v>
      </c>
      <c r="M20">
        <v>0.1</v>
      </c>
      <c r="N20">
        <v>0.1</v>
      </c>
      <c r="O20">
        <v>0</v>
      </c>
    </row>
    <row r="21" spans="1:15" x14ac:dyDescent="0.3">
      <c r="A21" t="s">
        <v>6</v>
      </c>
      <c r="B21">
        <v>1</v>
      </c>
      <c r="C21">
        <v>2015</v>
      </c>
      <c r="D21">
        <f t="shared" si="0"/>
        <v>37.400000000000006</v>
      </c>
      <c r="E21">
        <f>G20+E22</f>
        <v>62.599999999999994</v>
      </c>
    </row>
    <row r="22" spans="1:15" x14ac:dyDescent="0.3">
      <c r="A22" t="s">
        <v>6</v>
      </c>
      <c r="B22">
        <v>2</v>
      </c>
      <c r="C22">
        <v>2015</v>
      </c>
      <c r="D22">
        <f t="shared" si="0"/>
        <v>68.7</v>
      </c>
      <c r="E22">
        <f>H20+E23</f>
        <v>31.299999999999997</v>
      </c>
    </row>
    <row r="23" spans="1:15" x14ac:dyDescent="0.3">
      <c r="A23" t="s">
        <v>6</v>
      </c>
      <c r="B23">
        <v>3</v>
      </c>
      <c r="C23">
        <v>2015</v>
      </c>
      <c r="D23">
        <f t="shared" si="0"/>
        <v>87.1</v>
      </c>
      <c r="E23">
        <f>I20+E24</f>
        <v>12.899999999999999</v>
      </c>
    </row>
    <row r="24" spans="1:15" x14ac:dyDescent="0.3">
      <c r="A24" t="s">
        <v>6</v>
      </c>
      <c r="B24">
        <v>4</v>
      </c>
      <c r="C24">
        <v>2015</v>
      </c>
      <c r="D24">
        <f t="shared" si="0"/>
        <v>94.9</v>
      </c>
      <c r="E24">
        <f>J20+E25</f>
        <v>5.0999999999999996</v>
      </c>
    </row>
    <row r="25" spans="1:15" x14ac:dyDescent="0.3">
      <c r="A25" t="s">
        <v>6</v>
      </c>
      <c r="B25">
        <v>5</v>
      </c>
      <c r="C25">
        <v>2015</v>
      </c>
      <c r="D25">
        <f t="shared" si="0"/>
        <v>98</v>
      </c>
      <c r="E25">
        <f>SUM(K20:O20)</f>
        <v>2</v>
      </c>
    </row>
    <row r="26" spans="1:15" x14ac:dyDescent="0.3">
      <c r="A26" t="s">
        <v>7</v>
      </c>
      <c r="B26">
        <v>0</v>
      </c>
      <c r="C26">
        <v>2015</v>
      </c>
      <c r="D26">
        <f t="shared" si="0"/>
        <v>9.2000000000000028</v>
      </c>
      <c r="E26">
        <f t="shared" ref="E26" si="1">F26+E27</f>
        <v>90.8</v>
      </c>
      <c r="F26">
        <v>16</v>
      </c>
      <c r="G26">
        <v>30.8</v>
      </c>
      <c r="H26">
        <v>21.2</v>
      </c>
      <c r="I26">
        <v>11.3</v>
      </c>
      <c r="J26">
        <v>6</v>
      </c>
      <c r="K26">
        <v>3.3</v>
      </c>
      <c r="L26">
        <v>1.3</v>
      </c>
      <c r="M26">
        <v>0.5</v>
      </c>
      <c r="N26">
        <v>0.3</v>
      </c>
      <c r="O26">
        <v>0.1</v>
      </c>
    </row>
    <row r="27" spans="1:15" x14ac:dyDescent="0.3">
      <c r="A27" t="s">
        <v>7</v>
      </c>
      <c r="B27">
        <v>1</v>
      </c>
      <c r="C27">
        <v>2015</v>
      </c>
      <c r="D27">
        <f t="shared" si="0"/>
        <v>25.200000000000003</v>
      </c>
      <c r="E27">
        <f t="shared" ref="E27" si="2">G26+E28</f>
        <v>74.8</v>
      </c>
    </row>
    <row r="28" spans="1:15" x14ac:dyDescent="0.3">
      <c r="A28" t="s">
        <v>7</v>
      </c>
      <c r="B28">
        <v>2</v>
      </c>
      <c r="C28">
        <v>2015</v>
      </c>
      <c r="D28">
        <f t="shared" si="0"/>
        <v>56</v>
      </c>
      <c r="E28">
        <f t="shared" ref="E28" si="3">H26+E29</f>
        <v>44</v>
      </c>
    </row>
    <row r="29" spans="1:15" x14ac:dyDescent="0.3">
      <c r="A29" t="s">
        <v>7</v>
      </c>
      <c r="B29">
        <v>3</v>
      </c>
      <c r="C29">
        <v>2015</v>
      </c>
      <c r="D29">
        <f t="shared" si="0"/>
        <v>77.2</v>
      </c>
      <c r="E29">
        <f t="shared" ref="E29" si="4">I26+E30</f>
        <v>22.8</v>
      </c>
    </row>
    <row r="30" spans="1:15" x14ac:dyDescent="0.3">
      <c r="A30" t="s">
        <v>7</v>
      </c>
      <c r="B30">
        <v>4</v>
      </c>
      <c r="C30">
        <v>2015</v>
      </c>
      <c r="D30">
        <f t="shared" si="0"/>
        <v>88.5</v>
      </c>
      <c r="E30">
        <f t="shared" ref="E30" si="5">J26+E31</f>
        <v>11.5</v>
      </c>
    </row>
    <row r="31" spans="1:15" x14ac:dyDescent="0.3">
      <c r="A31" t="s">
        <v>7</v>
      </c>
      <c r="B31">
        <v>5</v>
      </c>
      <c r="C31">
        <v>2015</v>
      </c>
      <c r="D31">
        <f t="shared" si="0"/>
        <v>94.5</v>
      </c>
      <c r="E31">
        <f t="shared" ref="E31" si="6">SUM(K26:O26)</f>
        <v>5.4999999999999991</v>
      </c>
    </row>
    <row r="32" spans="1:15" x14ac:dyDescent="0.3">
      <c r="A32" t="s">
        <v>8</v>
      </c>
      <c r="B32">
        <v>0</v>
      </c>
      <c r="C32">
        <v>2015</v>
      </c>
      <c r="D32">
        <f t="shared" si="0"/>
        <v>7.2000000000000028</v>
      </c>
      <c r="E32">
        <f t="shared" ref="E32" si="7">F32+E33</f>
        <v>92.8</v>
      </c>
      <c r="F32">
        <v>11.7</v>
      </c>
      <c r="G32">
        <v>26.7</v>
      </c>
      <c r="H32">
        <v>22.1</v>
      </c>
      <c r="I32">
        <v>13.9</v>
      </c>
      <c r="J32">
        <v>8.6</v>
      </c>
      <c r="K32">
        <v>4.3</v>
      </c>
      <c r="L32">
        <v>2.6</v>
      </c>
      <c r="M32">
        <v>1.4</v>
      </c>
      <c r="N32">
        <v>0.9</v>
      </c>
      <c r="O32">
        <v>0.6</v>
      </c>
    </row>
    <row r="33" spans="1:15" x14ac:dyDescent="0.3">
      <c r="A33" t="s">
        <v>8</v>
      </c>
      <c r="B33">
        <v>1</v>
      </c>
      <c r="C33">
        <v>2015</v>
      </c>
      <c r="D33">
        <f t="shared" si="0"/>
        <v>18.900000000000006</v>
      </c>
      <c r="E33">
        <f t="shared" ref="E33" si="8">G32+E34</f>
        <v>81.099999999999994</v>
      </c>
    </row>
    <row r="34" spans="1:15" x14ac:dyDescent="0.3">
      <c r="A34" t="s">
        <v>8</v>
      </c>
      <c r="B34">
        <v>2</v>
      </c>
      <c r="C34">
        <v>2015</v>
      </c>
      <c r="D34">
        <f t="shared" si="0"/>
        <v>45.6</v>
      </c>
      <c r="E34">
        <f t="shared" ref="E34" si="9">H32+E35</f>
        <v>54.4</v>
      </c>
    </row>
    <row r="35" spans="1:15" x14ac:dyDescent="0.3">
      <c r="A35" t="s">
        <v>8</v>
      </c>
      <c r="B35">
        <v>3</v>
      </c>
      <c r="C35">
        <v>2015</v>
      </c>
      <c r="D35">
        <f t="shared" si="0"/>
        <v>67.7</v>
      </c>
      <c r="E35">
        <f t="shared" ref="E35" si="10">I32+E36</f>
        <v>32.299999999999997</v>
      </c>
    </row>
    <row r="36" spans="1:15" x14ac:dyDescent="0.3">
      <c r="A36" t="s">
        <v>8</v>
      </c>
      <c r="B36">
        <v>4</v>
      </c>
      <c r="C36">
        <v>2015</v>
      </c>
      <c r="D36">
        <f t="shared" si="0"/>
        <v>81.599999999999994</v>
      </c>
      <c r="E36">
        <f t="shared" ref="E36" si="11">J32+E37</f>
        <v>18.399999999999999</v>
      </c>
    </row>
    <row r="37" spans="1:15" x14ac:dyDescent="0.3">
      <c r="A37" t="s">
        <v>8</v>
      </c>
      <c r="B37">
        <v>5</v>
      </c>
      <c r="C37">
        <v>2015</v>
      </c>
      <c r="D37">
        <f t="shared" si="0"/>
        <v>90.2</v>
      </c>
      <c r="E37">
        <f t="shared" ref="E37" si="12">SUM(K32:O32)</f>
        <v>9.8000000000000007</v>
      </c>
    </row>
    <row r="38" spans="1:15" x14ac:dyDescent="0.3">
      <c r="A38" t="s">
        <v>9</v>
      </c>
      <c r="B38">
        <v>0</v>
      </c>
      <c r="C38">
        <v>2015</v>
      </c>
      <c r="D38">
        <f t="shared" si="0"/>
        <v>6.4000000000000057</v>
      </c>
      <c r="E38">
        <f t="shared" ref="E38" si="13">F38+E39</f>
        <v>93.6</v>
      </c>
      <c r="F38">
        <v>10.1</v>
      </c>
      <c r="G38">
        <v>22.6</v>
      </c>
      <c r="H38">
        <v>20.6</v>
      </c>
      <c r="I38">
        <v>15.1</v>
      </c>
      <c r="J38">
        <v>9.6999999999999993</v>
      </c>
      <c r="K38">
        <v>6</v>
      </c>
      <c r="L38">
        <v>3.8</v>
      </c>
      <c r="M38">
        <v>2.4</v>
      </c>
      <c r="N38">
        <v>1.5</v>
      </c>
      <c r="O38">
        <v>1.8</v>
      </c>
    </row>
    <row r="39" spans="1:15" x14ac:dyDescent="0.3">
      <c r="A39" t="s">
        <v>9</v>
      </c>
      <c r="B39">
        <v>1</v>
      </c>
      <c r="C39">
        <v>2015</v>
      </c>
      <c r="D39">
        <f t="shared" si="0"/>
        <v>16.5</v>
      </c>
      <c r="E39">
        <f t="shared" ref="E39" si="14">G38+E40</f>
        <v>83.5</v>
      </c>
    </row>
    <row r="40" spans="1:15" x14ac:dyDescent="0.3">
      <c r="A40" t="s">
        <v>9</v>
      </c>
      <c r="B40">
        <v>2</v>
      </c>
      <c r="C40">
        <v>2015</v>
      </c>
      <c r="D40">
        <f t="shared" si="0"/>
        <v>39.099999999999994</v>
      </c>
      <c r="E40">
        <f t="shared" ref="E40" si="15">H38+E41</f>
        <v>60.900000000000006</v>
      </c>
    </row>
    <row r="41" spans="1:15" x14ac:dyDescent="0.3">
      <c r="A41" t="s">
        <v>9</v>
      </c>
      <c r="B41">
        <v>3</v>
      </c>
      <c r="C41">
        <v>2015</v>
      </c>
      <c r="D41">
        <f t="shared" si="0"/>
        <v>59.699999999999996</v>
      </c>
      <c r="E41">
        <f t="shared" ref="E41" si="16">I38+E42</f>
        <v>40.300000000000004</v>
      </c>
    </row>
    <row r="42" spans="1:15" x14ac:dyDescent="0.3">
      <c r="A42" t="s">
        <v>9</v>
      </c>
      <c r="B42">
        <v>4</v>
      </c>
      <c r="C42">
        <v>2015</v>
      </c>
      <c r="D42">
        <f t="shared" si="0"/>
        <v>74.8</v>
      </c>
      <c r="E42">
        <f t="shared" ref="E42" si="17">J38+E43</f>
        <v>25.200000000000003</v>
      </c>
    </row>
    <row r="43" spans="1:15" x14ac:dyDescent="0.3">
      <c r="A43" t="s">
        <v>9</v>
      </c>
      <c r="B43">
        <v>5</v>
      </c>
      <c r="C43">
        <v>2015</v>
      </c>
      <c r="D43">
        <f t="shared" si="0"/>
        <v>84.5</v>
      </c>
      <c r="E43">
        <f t="shared" ref="E43" si="18">SUM(K38:O38)</f>
        <v>15.500000000000002</v>
      </c>
    </row>
    <row r="44" spans="1:15" x14ac:dyDescent="0.3">
      <c r="A44" t="s">
        <v>3</v>
      </c>
      <c r="B44">
        <v>0</v>
      </c>
      <c r="C44">
        <v>2016</v>
      </c>
      <c r="D44">
        <f t="shared" si="0"/>
        <v>89.9</v>
      </c>
      <c r="E44">
        <f t="shared" ref="E44" si="19">F44+E45</f>
        <v>10.100000000000001</v>
      </c>
      <c r="F44">
        <v>8.9</v>
      </c>
      <c r="G44">
        <v>1.1000000000000001</v>
      </c>
      <c r="H44">
        <v>0.1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">
      <c r="A45" t="s">
        <v>3</v>
      </c>
      <c r="B45">
        <v>1</v>
      </c>
      <c r="C45">
        <v>2016</v>
      </c>
      <c r="D45">
        <f t="shared" si="0"/>
        <v>98.8</v>
      </c>
      <c r="E45">
        <f t="shared" ref="E45" si="20">G44+E46</f>
        <v>1.2000000000000002</v>
      </c>
    </row>
    <row r="46" spans="1:15" x14ac:dyDescent="0.3">
      <c r="A46" t="s">
        <v>3</v>
      </c>
      <c r="B46">
        <v>2</v>
      </c>
      <c r="C46">
        <v>2016</v>
      </c>
      <c r="D46">
        <f t="shared" si="0"/>
        <v>99.9</v>
      </c>
      <c r="E46">
        <f t="shared" ref="E46" si="21">H44+E47</f>
        <v>0.1</v>
      </c>
    </row>
    <row r="47" spans="1:15" x14ac:dyDescent="0.3">
      <c r="A47" t="s">
        <v>17</v>
      </c>
      <c r="B47">
        <v>3</v>
      </c>
      <c r="C47">
        <v>2016</v>
      </c>
      <c r="D47">
        <f t="shared" si="0"/>
        <v>100</v>
      </c>
      <c r="E47">
        <f t="shared" ref="E47" si="22">I44+E48</f>
        <v>0</v>
      </c>
    </row>
    <row r="48" spans="1:15" x14ac:dyDescent="0.3">
      <c r="A48" t="s">
        <v>17</v>
      </c>
      <c r="B48">
        <v>4</v>
      </c>
      <c r="C48">
        <v>2016</v>
      </c>
      <c r="D48">
        <f t="shared" si="0"/>
        <v>100</v>
      </c>
      <c r="E48">
        <f t="shared" ref="E48" si="23">J44+E49</f>
        <v>0</v>
      </c>
    </row>
    <row r="49" spans="1:15" x14ac:dyDescent="0.3">
      <c r="A49" t="s">
        <v>17</v>
      </c>
      <c r="B49">
        <v>5</v>
      </c>
      <c r="C49">
        <v>2016</v>
      </c>
      <c r="D49">
        <f t="shared" si="0"/>
        <v>100</v>
      </c>
      <c r="E49">
        <f t="shared" ref="E49" si="24">SUM(K44:O44)</f>
        <v>0</v>
      </c>
    </row>
    <row r="50" spans="1:15" x14ac:dyDescent="0.3">
      <c r="A50" t="s">
        <v>4</v>
      </c>
      <c r="B50">
        <v>0</v>
      </c>
      <c r="C50">
        <v>2016</v>
      </c>
      <c r="D50">
        <f t="shared" si="0"/>
        <v>54.2</v>
      </c>
      <c r="E50">
        <f t="shared" ref="E50" si="25">F50+E51</f>
        <v>45.8</v>
      </c>
      <c r="F50">
        <v>30.9</v>
      </c>
      <c r="G50">
        <v>11.8</v>
      </c>
      <c r="H50">
        <v>2.6</v>
      </c>
      <c r="I50">
        <v>0.4</v>
      </c>
      <c r="J50">
        <v>0.1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">
      <c r="A51" t="s">
        <v>4</v>
      </c>
      <c r="B51">
        <v>1</v>
      </c>
      <c r="C51">
        <v>2016</v>
      </c>
      <c r="D51">
        <f t="shared" si="0"/>
        <v>85.1</v>
      </c>
      <c r="E51">
        <f t="shared" ref="E51" si="26">G50+E52</f>
        <v>14.9</v>
      </c>
    </row>
    <row r="52" spans="1:15" x14ac:dyDescent="0.3">
      <c r="A52" t="s">
        <v>4</v>
      </c>
      <c r="B52">
        <v>2</v>
      </c>
      <c r="C52">
        <v>2016</v>
      </c>
      <c r="D52">
        <f t="shared" si="0"/>
        <v>96.9</v>
      </c>
      <c r="E52">
        <f t="shared" ref="E52" si="27">H50+E53</f>
        <v>3.1</v>
      </c>
    </row>
    <row r="53" spans="1:15" x14ac:dyDescent="0.3">
      <c r="A53" t="s">
        <v>4</v>
      </c>
      <c r="B53">
        <v>3</v>
      </c>
      <c r="C53">
        <v>2016</v>
      </c>
      <c r="D53">
        <f t="shared" si="0"/>
        <v>99.5</v>
      </c>
      <c r="E53">
        <f t="shared" ref="E53" si="28">I50+E54</f>
        <v>0.5</v>
      </c>
    </row>
    <row r="54" spans="1:15" x14ac:dyDescent="0.3">
      <c r="A54" t="s">
        <v>4</v>
      </c>
      <c r="B54">
        <v>4</v>
      </c>
      <c r="C54">
        <v>2016</v>
      </c>
      <c r="D54">
        <f t="shared" si="0"/>
        <v>99.9</v>
      </c>
      <c r="E54">
        <f t="shared" ref="E54" si="29">J50+E55</f>
        <v>0.1</v>
      </c>
    </row>
    <row r="55" spans="1:15" x14ac:dyDescent="0.3">
      <c r="A55" t="s">
        <v>15</v>
      </c>
      <c r="B55">
        <v>5</v>
      </c>
      <c r="C55">
        <v>2016</v>
      </c>
      <c r="D55">
        <f t="shared" si="0"/>
        <v>100</v>
      </c>
      <c r="E55">
        <f t="shared" ref="E55" si="30">SUM(K50:O50)</f>
        <v>0</v>
      </c>
    </row>
    <row r="56" spans="1:15" x14ac:dyDescent="0.3">
      <c r="A56" t="s">
        <v>5</v>
      </c>
      <c r="B56">
        <v>0</v>
      </c>
      <c r="C56">
        <v>2016</v>
      </c>
      <c r="D56">
        <f t="shared" si="0"/>
        <v>25.800000000000011</v>
      </c>
      <c r="E56">
        <f t="shared" ref="E56" si="31">F56+E57</f>
        <v>74.199999999999989</v>
      </c>
      <c r="F56">
        <v>32.4</v>
      </c>
      <c r="G56">
        <v>27.3</v>
      </c>
      <c r="H56">
        <v>10.5</v>
      </c>
      <c r="I56">
        <v>2.9</v>
      </c>
      <c r="J56">
        <v>0.8</v>
      </c>
      <c r="K56">
        <v>0.3</v>
      </c>
      <c r="L56">
        <v>0</v>
      </c>
      <c r="M56">
        <v>0</v>
      </c>
      <c r="N56">
        <v>0</v>
      </c>
      <c r="O56">
        <v>0</v>
      </c>
    </row>
    <row r="57" spans="1:15" x14ac:dyDescent="0.3">
      <c r="A57" t="s">
        <v>5</v>
      </c>
      <c r="B57">
        <v>1</v>
      </c>
      <c r="C57">
        <v>2016</v>
      </c>
      <c r="D57">
        <f t="shared" si="0"/>
        <v>58.2</v>
      </c>
      <c r="E57">
        <f t="shared" ref="E57" si="32">G56+E58</f>
        <v>41.8</v>
      </c>
    </row>
    <row r="58" spans="1:15" x14ac:dyDescent="0.3">
      <c r="A58" t="s">
        <v>5</v>
      </c>
      <c r="B58">
        <v>2</v>
      </c>
      <c r="C58">
        <v>2016</v>
      </c>
      <c r="D58">
        <f t="shared" si="0"/>
        <v>85.5</v>
      </c>
      <c r="E58">
        <f t="shared" ref="E58" si="33">H56+E59</f>
        <v>14.5</v>
      </c>
    </row>
    <row r="59" spans="1:15" x14ac:dyDescent="0.3">
      <c r="A59" t="s">
        <v>5</v>
      </c>
      <c r="B59">
        <v>3</v>
      </c>
      <c r="C59">
        <v>2016</v>
      </c>
      <c r="D59">
        <f t="shared" si="0"/>
        <v>96</v>
      </c>
      <c r="E59">
        <f t="shared" ref="E59" si="34">I56+E60</f>
        <v>4</v>
      </c>
    </row>
    <row r="60" spans="1:15" x14ac:dyDescent="0.3">
      <c r="A60" t="s">
        <v>5</v>
      </c>
      <c r="B60">
        <v>4</v>
      </c>
      <c r="C60">
        <v>2016</v>
      </c>
      <c r="D60">
        <f t="shared" si="0"/>
        <v>98.9</v>
      </c>
      <c r="E60">
        <f t="shared" ref="E60" si="35">J56+E61</f>
        <v>1.1000000000000001</v>
      </c>
    </row>
    <row r="61" spans="1:15" x14ac:dyDescent="0.3">
      <c r="A61" t="s">
        <v>5</v>
      </c>
      <c r="B61">
        <v>5</v>
      </c>
      <c r="C61">
        <v>2016</v>
      </c>
      <c r="D61">
        <f t="shared" si="0"/>
        <v>99.7</v>
      </c>
      <c r="E61">
        <f t="shared" ref="E61" si="36">SUM(K56:O56)</f>
        <v>0.3</v>
      </c>
    </row>
    <row r="62" spans="1:15" x14ac:dyDescent="0.3">
      <c r="A62" t="s">
        <v>6</v>
      </c>
      <c r="B62">
        <v>0</v>
      </c>
      <c r="C62">
        <v>2016</v>
      </c>
      <c r="D62">
        <f t="shared" si="0"/>
        <v>13.5</v>
      </c>
      <c r="E62">
        <f t="shared" ref="E62" si="37">F62+E63</f>
        <v>86.5</v>
      </c>
      <c r="F62">
        <v>24.9</v>
      </c>
      <c r="G62">
        <v>32</v>
      </c>
      <c r="H62">
        <v>17.5</v>
      </c>
      <c r="I62">
        <v>7.5</v>
      </c>
      <c r="J62">
        <v>2.8</v>
      </c>
      <c r="K62">
        <v>1.3</v>
      </c>
      <c r="L62">
        <v>0.4</v>
      </c>
      <c r="M62">
        <v>0.1</v>
      </c>
      <c r="N62">
        <v>0</v>
      </c>
      <c r="O62">
        <v>0</v>
      </c>
    </row>
    <row r="63" spans="1:15" x14ac:dyDescent="0.3">
      <c r="A63" t="s">
        <v>6</v>
      </c>
      <c r="B63">
        <v>1</v>
      </c>
      <c r="C63">
        <v>2016</v>
      </c>
      <c r="D63">
        <f t="shared" si="0"/>
        <v>38.4</v>
      </c>
      <c r="E63">
        <f t="shared" ref="E63" si="38">G62+E64</f>
        <v>61.6</v>
      </c>
    </row>
    <row r="64" spans="1:15" x14ac:dyDescent="0.3">
      <c r="A64" t="s">
        <v>11</v>
      </c>
      <c r="B64">
        <v>2</v>
      </c>
      <c r="C64">
        <v>2016</v>
      </c>
      <c r="D64">
        <f t="shared" si="0"/>
        <v>70.400000000000006</v>
      </c>
      <c r="E64">
        <f t="shared" ref="E64" si="39">H62+E65</f>
        <v>29.6</v>
      </c>
    </row>
    <row r="65" spans="1:15" x14ac:dyDescent="0.3">
      <c r="A65" t="s">
        <v>11</v>
      </c>
      <c r="B65">
        <v>3</v>
      </c>
      <c r="C65">
        <v>2016</v>
      </c>
      <c r="D65">
        <f t="shared" si="0"/>
        <v>87.9</v>
      </c>
      <c r="E65">
        <f t="shared" ref="E65" si="40">I62+E66</f>
        <v>12.1</v>
      </c>
    </row>
    <row r="66" spans="1:15" x14ac:dyDescent="0.3">
      <c r="A66" t="s">
        <v>11</v>
      </c>
      <c r="B66">
        <v>4</v>
      </c>
      <c r="C66">
        <v>2016</v>
      </c>
      <c r="D66">
        <f t="shared" si="0"/>
        <v>95.4</v>
      </c>
      <c r="E66">
        <f t="shared" ref="E66" si="41">J62+E67</f>
        <v>4.5999999999999996</v>
      </c>
    </row>
    <row r="67" spans="1:15" x14ac:dyDescent="0.3">
      <c r="A67" t="s">
        <v>11</v>
      </c>
      <c r="B67">
        <v>5</v>
      </c>
      <c r="C67">
        <v>2016</v>
      </c>
      <c r="D67">
        <f t="shared" ref="D67:D130" si="42">100-E67</f>
        <v>98.2</v>
      </c>
      <c r="E67">
        <f t="shared" ref="E67" si="43">SUM(K62:O62)</f>
        <v>1.8000000000000003</v>
      </c>
    </row>
    <row r="68" spans="1:15" x14ac:dyDescent="0.3">
      <c r="A68" t="s">
        <v>7</v>
      </c>
      <c r="B68">
        <v>0</v>
      </c>
      <c r="C68">
        <v>2016</v>
      </c>
      <c r="D68">
        <f t="shared" si="42"/>
        <v>9.8999999999999915</v>
      </c>
      <c r="E68">
        <f t="shared" ref="E68" si="44">F68+E69</f>
        <v>90.100000000000009</v>
      </c>
      <c r="F68">
        <v>16.2</v>
      </c>
      <c r="G68">
        <v>30.5</v>
      </c>
      <c r="H68">
        <v>21.7</v>
      </c>
      <c r="I68">
        <v>11.4</v>
      </c>
      <c r="J68">
        <v>5.5</v>
      </c>
      <c r="K68">
        <v>2.8</v>
      </c>
      <c r="L68">
        <v>1.1000000000000001</v>
      </c>
      <c r="M68">
        <v>0.5</v>
      </c>
      <c r="N68">
        <v>0.3</v>
      </c>
      <c r="O68">
        <v>0.1</v>
      </c>
    </row>
    <row r="69" spans="1:15" x14ac:dyDescent="0.3">
      <c r="A69" t="s">
        <v>7</v>
      </c>
      <c r="B69">
        <v>1</v>
      </c>
      <c r="C69">
        <v>2016</v>
      </c>
      <c r="D69">
        <f t="shared" si="42"/>
        <v>26.099999999999994</v>
      </c>
      <c r="E69">
        <f t="shared" ref="E69" si="45">G68+E70</f>
        <v>73.900000000000006</v>
      </c>
    </row>
    <row r="70" spans="1:15" x14ac:dyDescent="0.3">
      <c r="A70" t="s">
        <v>12</v>
      </c>
      <c r="B70">
        <v>2</v>
      </c>
      <c r="C70">
        <v>2016</v>
      </c>
      <c r="D70">
        <f t="shared" si="42"/>
        <v>56.599999999999994</v>
      </c>
      <c r="E70">
        <f t="shared" ref="E70" si="46">H68+E71</f>
        <v>43.400000000000006</v>
      </c>
    </row>
    <row r="71" spans="1:15" x14ac:dyDescent="0.3">
      <c r="A71" t="s">
        <v>12</v>
      </c>
      <c r="B71">
        <v>3</v>
      </c>
      <c r="C71">
        <v>2016</v>
      </c>
      <c r="D71">
        <f t="shared" si="42"/>
        <v>78.3</v>
      </c>
      <c r="E71">
        <f t="shared" ref="E71" si="47">I68+E72</f>
        <v>21.700000000000003</v>
      </c>
    </row>
    <row r="72" spans="1:15" x14ac:dyDescent="0.3">
      <c r="A72" t="s">
        <v>12</v>
      </c>
      <c r="B72">
        <v>4</v>
      </c>
      <c r="C72">
        <v>2016</v>
      </c>
      <c r="D72">
        <f t="shared" si="42"/>
        <v>89.7</v>
      </c>
      <c r="E72">
        <f t="shared" ref="E72" si="48">J68+E73</f>
        <v>10.3</v>
      </c>
    </row>
    <row r="73" spans="1:15" x14ac:dyDescent="0.3">
      <c r="A73" t="s">
        <v>12</v>
      </c>
      <c r="B73">
        <v>5</v>
      </c>
      <c r="C73">
        <v>2016</v>
      </c>
      <c r="D73">
        <f t="shared" si="42"/>
        <v>95.2</v>
      </c>
      <c r="E73">
        <f t="shared" ref="E73" si="49">SUM(K68:O68)</f>
        <v>4.8</v>
      </c>
    </row>
    <row r="74" spans="1:15" x14ac:dyDescent="0.3">
      <c r="A74" t="s">
        <v>8</v>
      </c>
      <c r="B74">
        <v>0</v>
      </c>
      <c r="C74">
        <v>2016</v>
      </c>
      <c r="D74">
        <f t="shared" si="42"/>
        <v>7</v>
      </c>
      <c r="E74">
        <f t="shared" ref="E74" si="50">F74+E75</f>
        <v>93</v>
      </c>
      <c r="F74">
        <v>11.1</v>
      </c>
      <c r="G74">
        <v>26.9</v>
      </c>
      <c r="H74">
        <v>23.6</v>
      </c>
      <c r="I74">
        <v>14</v>
      </c>
      <c r="J74">
        <v>7.5</v>
      </c>
      <c r="K74">
        <v>4.4000000000000004</v>
      </c>
      <c r="L74">
        <v>2.9</v>
      </c>
      <c r="M74">
        <v>1.5</v>
      </c>
      <c r="N74">
        <v>0.6</v>
      </c>
      <c r="O74">
        <v>0.5</v>
      </c>
    </row>
    <row r="75" spans="1:15" x14ac:dyDescent="0.3">
      <c r="A75" t="s">
        <v>8</v>
      </c>
      <c r="B75">
        <v>1</v>
      </c>
      <c r="C75">
        <v>2016</v>
      </c>
      <c r="D75">
        <f t="shared" si="42"/>
        <v>18.099999999999994</v>
      </c>
      <c r="E75">
        <f t="shared" ref="E75" si="51">G74+E76</f>
        <v>81.900000000000006</v>
      </c>
    </row>
    <row r="76" spans="1:15" x14ac:dyDescent="0.3">
      <c r="A76" t="s">
        <v>13</v>
      </c>
      <c r="B76">
        <v>2</v>
      </c>
      <c r="C76">
        <v>2016</v>
      </c>
      <c r="D76">
        <f t="shared" si="42"/>
        <v>45</v>
      </c>
      <c r="E76">
        <f t="shared" ref="E76" si="52">H74+E77</f>
        <v>55</v>
      </c>
    </row>
    <row r="77" spans="1:15" x14ac:dyDescent="0.3">
      <c r="A77" t="s">
        <v>13</v>
      </c>
      <c r="B77">
        <v>3</v>
      </c>
      <c r="C77">
        <v>2016</v>
      </c>
      <c r="D77">
        <f t="shared" si="42"/>
        <v>68.599999999999994</v>
      </c>
      <c r="E77">
        <f t="shared" ref="E77" si="53">I74+E78</f>
        <v>31.4</v>
      </c>
    </row>
    <row r="78" spans="1:15" x14ac:dyDescent="0.3">
      <c r="A78" t="s">
        <v>13</v>
      </c>
      <c r="B78">
        <v>4</v>
      </c>
      <c r="C78">
        <v>2016</v>
      </c>
      <c r="D78">
        <f t="shared" si="42"/>
        <v>82.6</v>
      </c>
      <c r="E78">
        <f t="shared" ref="E78" si="54">J74+E79</f>
        <v>17.399999999999999</v>
      </c>
    </row>
    <row r="79" spans="1:15" x14ac:dyDescent="0.3">
      <c r="A79" t="s">
        <v>13</v>
      </c>
      <c r="B79">
        <v>5</v>
      </c>
      <c r="C79">
        <v>2016</v>
      </c>
      <c r="D79">
        <f t="shared" si="42"/>
        <v>90.1</v>
      </c>
      <c r="E79">
        <f t="shared" ref="E79" si="55">SUM(K74:O74)</f>
        <v>9.9</v>
      </c>
    </row>
    <row r="80" spans="1:15" x14ac:dyDescent="0.3">
      <c r="A80" t="s">
        <v>9</v>
      </c>
      <c r="B80">
        <v>0</v>
      </c>
      <c r="C80">
        <v>2016</v>
      </c>
      <c r="D80">
        <f t="shared" si="42"/>
        <v>6.7000000000000028</v>
      </c>
      <c r="E80">
        <f t="shared" ref="E80" si="56">F80+E81</f>
        <v>93.3</v>
      </c>
      <c r="F80">
        <v>9.6999999999999993</v>
      </c>
      <c r="G80">
        <v>22</v>
      </c>
      <c r="H80">
        <v>21.9</v>
      </c>
      <c r="I80">
        <v>15.4</v>
      </c>
      <c r="J80">
        <v>9.5</v>
      </c>
      <c r="K80">
        <v>6</v>
      </c>
      <c r="L80">
        <v>3.5</v>
      </c>
      <c r="M80">
        <v>2.2999999999999998</v>
      </c>
      <c r="N80">
        <v>1.5</v>
      </c>
      <c r="O80">
        <v>1.5</v>
      </c>
    </row>
    <row r="81" spans="1:15" x14ac:dyDescent="0.3">
      <c r="A81" t="s">
        <v>9</v>
      </c>
      <c r="B81">
        <v>1</v>
      </c>
      <c r="C81">
        <v>2016</v>
      </c>
      <c r="D81">
        <f t="shared" si="42"/>
        <v>16.400000000000006</v>
      </c>
      <c r="E81">
        <f t="shared" ref="E81" si="57">G80+E82</f>
        <v>83.6</v>
      </c>
    </row>
    <row r="82" spans="1:15" x14ac:dyDescent="0.3">
      <c r="A82" t="s">
        <v>14</v>
      </c>
      <c r="B82">
        <v>2</v>
      </c>
      <c r="C82">
        <v>2016</v>
      </c>
      <c r="D82">
        <f t="shared" si="42"/>
        <v>38.4</v>
      </c>
      <c r="E82">
        <f t="shared" ref="E82" si="58">H80+E83</f>
        <v>61.6</v>
      </c>
    </row>
    <row r="83" spans="1:15" x14ac:dyDescent="0.3">
      <c r="A83" t="s">
        <v>14</v>
      </c>
      <c r="B83">
        <v>3</v>
      </c>
      <c r="C83">
        <v>2016</v>
      </c>
      <c r="D83">
        <f t="shared" si="42"/>
        <v>60.3</v>
      </c>
      <c r="E83">
        <f t="shared" ref="E83" si="59">I80+E84</f>
        <v>39.700000000000003</v>
      </c>
    </row>
    <row r="84" spans="1:15" x14ac:dyDescent="0.3">
      <c r="A84" t="s">
        <v>14</v>
      </c>
      <c r="B84">
        <v>4</v>
      </c>
      <c r="C84">
        <v>2016</v>
      </c>
      <c r="D84">
        <f t="shared" si="42"/>
        <v>75.7</v>
      </c>
      <c r="E84">
        <f t="shared" ref="E84" si="60">J80+E85</f>
        <v>24.3</v>
      </c>
    </row>
    <row r="85" spans="1:15" x14ac:dyDescent="0.3">
      <c r="A85" t="s">
        <v>14</v>
      </c>
      <c r="B85">
        <v>5</v>
      </c>
      <c r="C85">
        <v>2016</v>
      </c>
      <c r="D85">
        <f t="shared" si="42"/>
        <v>85.2</v>
      </c>
      <c r="E85">
        <f t="shared" ref="E85" si="61">SUM(K80:O80)</f>
        <v>14.8</v>
      </c>
    </row>
    <row r="86" spans="1:15" x14ac:dyDescent="0.3">
      <c r="A86" t="s">
        <v>3</v>
      </c>
      <c r="B86">
        <v>0</v>
      </c>
      <c r="C86">
        <v>2017</v>
      </c>
      <c r="D86">
        <f t="shared" si="42"/>
        <v>89.4</v>
      </c>
      <c r="E86">
        <f t="shared" ref="E86" si="62">F86+E87</f>
        <v>10.6</v>
      </c>
      <c r="F86">
        <v>9.6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">
      <c r="A87" t="s">
        <v>3</v>
      </c>
      <c r="B87">
        <v>1</v>
      </c>
      <c r="C87">
        <v>2017</v>
      </c>
      <c r="D87">
        <f t="shared" si="42"/>
        <v>99</v>
      </c>
      <c r="E87">
        <f t="shared" ref="E87" si="63">G86+E88</f>
        <v>1</v>
      </c>
    </row>
    <row r="88" spans="1:15" x14ac:dyDescent="0.3">
      <c r="A88" t="s">
        <v>17</v>
      </c>
      <c r="B88">
        <v>2</v>
      </c>
      <c r="C88">
        <v>2017</v>
      </c>
      <c r="D88">
        <f t="shared" si="42"/>
        <v>100</v>
      </c>
      <c r="E88">
        <f t="shared" ref="E88" si="64">H86+E89</f>
        <v>0</v>
      </c>
    </row>
    <row r="89" spans="1:15" x14ac:dyDescent="0.3">
      <c r="A89" t="s">
        <v>17</v>
      </c>
      <c r="B89">
        <v>3</v>
      </c>
      <c r="C89">
        <v>2017</v>
      </c>
      <c r="D89">
        <f t="shared" si="42"/>
        <v>100</v>
      </c>
      <c r="E89">
        <f t="shared" ref="E89" si="65">I86+E90</f>
        <v>0</v>
      </c>
    </row>
    <row r="90" spans="1:15" x14ac:dyDescent="0.3">
      <c r="A90" t="s">
        <v>17</v>
      </c>
      <c r="B90">
        <v>4</v>
      </c>
      <c r="C90">
        <v>2017</v>
      </c>
      <c r="D90">
        <f t="shared" si="42"/>
        <v>100</v>
      </c>
      <c r="E90">
        <f t="shared" ref="E90" si="66">J86+E91</f>
        <v>0</v>
      </c>
    </row>
    <row r="91" spans="1:15" x14ac:dyDescent="0.3">
      <c r="A91" t="s">
        <v>17</v>
      </c>
      <c r="B91">
        <v>5</v>
      </c>
      <c r="C91">
        <v>2017</v>
      </c>
      <c r="D91">
        <f t="shared" si="42"/>
        <v>100</v>
      </c>
      <c r="E91">
        <f t="shared" ref="E91" si="67">SUM(K86:O86)</f>
        <v>0</v>
      </c>
    </row>
    <row r="92" spans="1:15" x14ac:dyDescent="0.3">
      <c r="A92" t="s">
        <v>4</v>
      </c>
      <c r="B92">
        <v>0</v>
      </c>
      <c r="C92">
        <v>2017</v>
      </c>
      <c r="D92">
        <f t="shared" si="42"/>
        <v>54.8</v>
      </c>
      <c r="E92">
        <f t="shared" ref="E92" si="68">F92+E93</f>
        <v>45.2</v>
      </c>
      <c r="F92">
        <v>30.8</v>
      </c>
      <c r="G92">
        <v>11.5</v>
      </c>
      <c r="H92">
        <v>2.5</v>
      </c>
      <c r="I92">
        <v>0.3</v>
      </c>
      <c r="J92">
        <v>0.1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">
      <c r="A93" t="s">
        <v>4</v>
      </c>
      <c r="B93">
        <v>1</v>
      </c>
      <c r="C93">
        <v>2017</v>
      </c>
      <c r="D93">
        <f t="shared" si="42"/>
        <v>85.6</v>
      </c>
      <c r="E93">
        <f t="shared" ref="E93" si="69">G92+E94</f>
        <v>14.4</v>
      </c>
    </row>
    <row r="94" spans="1:15" x14ac:dyDescent="0.3">
      <c r="A94" t="s">
        <v>15</v>
      </c>
      <c r="B94">
        <v>2</v>
      </c>
      <c r="C94">
        <v>2017</v>
      </c>
      <c r="D94">
        <f t="shared" si="42"/>
        <v>97.1</v>
      </c>
      <c r="E94">
        <f t="shared" ref="E94" si="70">H92+E95</f>
        <v>2.9</v>
      </c>
    </row>
    <row r="95" spans="1:15" x14ac:dyDescent="0.3">
      <c r="A95" t="s">
        <v>15</v>
      </c>
      <c r="B95">
        <v>3</v>
      </c>
      <c r="C95">
        <v>2017</v>
      </c>
      <c r="D95">
        <f t="shared" si="42"/>
        <v>99.6</v>
      </c>
      <c r="E95">
        <f t="shared" ref="E95" si="71">I92+E96</f>
        <v>0.4</v>
      </c>
    </row>
    <row r="96" spans="1:15" x14ac:dyDescent="0.3">
      <c r="A96" t="s">
        <v>15</v>
      </c>
      <c r="B96">
        <v>4</v>
      </c>
      <c r="C96">
        <v>2017</v>
      </c>
      <c r="D96">
        <f t="shared" si="42"/>
        <v>99.9</v>
      </c>
      <c r="E96">
        <f t="shared" ref="E96" si="72">J92+E97</f>
        <v>0.1</v>
      </c>
    </row>
    <row r="97" spans="1:15" x14ac:dyDescent="0.3">
      <c r="A97" t="s">
        <v>15</v>
      </c>
      <c r="B97">
        <v>5</v>
      </c>
      <c r="C97">
        <v>2017</v>
      </c>
      <c r="D97">
        <f t="shared" si="42"/>
        <v>100</v>
      </c>
      <c r="E97">
        <f t="shared" ref="E97" si="73">SUM(K92:O92)</f>
        <v>0</v>
      </c>
    </row>
    <row r="98" spans="1:15" x14ac:dyDescent="0.3">
      <c r="A98" t="s">
        <v>5</v>
      </c>
      <c r="B98">
        <v>0</v>
      </c>
      <c r="C98">
        <v>2017</v>
      </c>
      <c r="D98">
        <f t="shared" si="42"/>
        <v>26.5</v>
      </c>
      <c r="E98">
        <f t="shared" ref="E98" si="74">F98+E99</f>
        <v>73.5</v>
      </c>
      <c r="F98">
        <v>33</v>
      </c>
      <c r="G98">
        <v>27.2</v>
      </c>
      <c r="H98">
        <v>9.5</v>
      </c>
      <c r="I98">
        <v>2.7</v>
      </c>
      <c r="J98">
        <v>0.9</v>
      </c>
      <c r="K98">
        <v>0.2</v>
      </c>
      <c r="L98">
        <v>0</v>
      </c>
      <c r="M98">
        <v>0</v>
      </c>
      <c r="N98">
        <v>0</v>
      </c>
      <c r="O98">
        <v>0</v>
      </c>
    </row>
    <row r="99" spans="1:15" x14ac:dyDescent="0.3">
      <c r="A99" t="s">
        <v>5</v>
      </c>
      <c r="B99">
        <v>1</v>
      </c>
      <c r="C99">
        <v>2017</v>
      </c>
      <c r="D99">
        <f t="shared" si="42"/>
        <v>59.5</v>
      </c>
      <c r="E99">
        <f t="shared" ref="E99" si="75">G98+E100</f>
        <v>40.5</v>
      </c>
    </row>
    <row r="100" spans="1:15" x14ac:dyDescent="0.3">
      <c r="A100" t="s">
        <v>16</v>
      </c>
      <c r="B100">
        <v>2</v>
      </c>
      <c r="C100">
        <v>2017</v>
      </c>
      <c r="D100">
        <f t="shared" si="42"/>
        <v>86.7</v>
      </c>
      <c r="E100">
        <f t="shared" ref="E100" si="76">H98+E101</f>
        <v>13.3</v>
      </c>
    </row>
    <row r="101" spans="1:15" x14ac:dyDescent="0.3">
      <c r="A101" t="s">
        <v>16</v>
      </c>
      <c r="B101">
        <v>3</v>
      </c>
      <c r="C101">
        <v>2017</v>
      </c>
      <c r="D101">
        <f t="shared" si="42"/>
        <v>96.2</v>
      </c>
      <c r="E101">
        <f t="shared" ref="E101" si="77">I98+E102</f>
        <v>3.8000000000000003</v>
      </c>
    </row>
    <row r="102" spans="1:15" x14ac:dyDescent="0.3">
      <c r="A102" t="s">
        <v>16</v>
      </c>
      <c r="B102">
        <v>4</v>
      </c>
      <c r="C102">
        <v>2017</v>
      </c>
      <c r="D102">
        <f t="shared" si="42"/>
        <v>98.9</v>
      </c>
      <c r="E102">
        <f t="shared" ref="E102" si="78">J98+E103</f>
        <v>1.1000000000000001</v>
      </c>
    </row>
    <row r="103" spans="1:15" x14ac:dyDescent="0.3">
      <c r="A103" t="s">
        <v>16</v>
      </c>
      <c r="B103">
        <v>5</v>
      </c>
      <c r="C103">
        <v>2017</v>
      </c>
      <c r="D103">
        <f t="shared" si="42"/>
        <v>99.8</v>
      </c>
      <c r="E103">
        <f t="shared" ref="E103" si="79">SUM(K98:O98)</f>
        <v>0.2</v>
      </c>
    </row>
    <row r="104" spans="1:15" x14ac:dyDescent="0.3">
      <c r="A104" t="s">
        <v>6</v>
      </c>
      <c r="B104">
        <v>0</v>
      </c>
      <c r="C104">
        <v>2017</v>
      </c>
      <c r="D104">
        <f t="shared" si="42"/>
        <v>15</v>
      </c>
      <c r="E104">
        <f t="shared" ref="E104" si="80">F104+E105</f>
        <v>85</v>
      </c>
      <c r="F104">
        <v>24.6</v>
      </c>
      <c r="G104">
        <v>32.700000000000003</v>
      </c>
      <c r="H104">
        <v>17.2</v>
      </c>
      <c r="I104">
        <v>6.8</v>
      </c>
      <c r="J104">
        <v>2.4</v>
      </c>
      <c r="K104">
        <v>0.9</v>
      </c>
      <c r="L104">
        <v>0.3</v>
      </c>
      <c r="M104">
        <v>0.1</v>
      </c>
      <c r="N104">
        <v>0</v>
      </c>
      <c r="O104">
        <v>0</v>
      </c>
    </row>
    <row r="105" spans="1:15" x14ac:dyDescent="0.3">
      <c r="A105" t="s">
        <v>6</v>
      </c>
      <c r="B105">
        <v>1</v>
      </c>
      <c r="C105">
        <v>2017</v>
      </c>
      <c r="D105">
        <f t="shared" si="42"/>
        <v>39.599999999999994</v>
      </c>
      <c r="E105">
        <f t="shared" ref="E105" si="81">G104+E106</f>
        <v>60.400000000000006</v>
      </c>
    </row>
    <row r="106" spans="1:15" x14ac:dyDescent="0.3">
      <c r="A106" t="s">
        <v>11</v>
      </c>
      <c r="B106">
        <v>2</v>
      </c>
      <c r="C106">
        <v>2017</v>
      </c>
      <c r="D106">
        <f t="shared" si="42"/>
        <v>72.3</v>
      </c>
      <c r="E106">
        <f t="shared" ref="E106" si="82">H104+E107</f>
        <v>27.7</v>
      </c>
    </row>
    <row r="107" spans="1:15" x14ac:dyDescent="0.3">
      <c r="A107" t="s">
        <v>11</v>
      </c>
      <c r="B107">
        <v>3</v>
      </c>
      <c r="C107">
        <v>2017</v>
      </c>
      <c r="D107">
        <f t="shared" si="42"/>
        <v>89.5</v>
      </c>
      <c r="E107">
        <f t="shared" ref="E107" si="83">I104+E108</f>
        <v>10.5</v>
      </c>
    </row>
    <row r="108" spans="1:15" x14ac:dyDescent="0.3">
      <c r="A108" t="s">
        <v>11</v>
      </c>
      <c r="B108">
        <v>4</v>
      </c>
      <c r="C108">
        <v>2017</v>
      </c>
      <c r="D108">
        <f t="shared" si="42"/>
        <v>96.3</v>
      </c>
      <c r="E108">
        <f t="shared" ref="E108" si="84">J104+E109</f>
        <v>3.7</v>
      </c>
    </row>
    <row r="109" spans="1:15" x14ac:dyDescent="0.3">
      <c r="A109" t="s">
        <v>11</v>
      </c>
      <c r="B109">
        <v>5</v>
      </c>
      <c r="C109">
        <v>2017</v>
      </c>
      <c r="D109">
        <f t="shared" si="42"/>
        <v>98.7</v>
      </c>
      <c r="E109">
        <f t="shared" ref="E109" si="85">SUM(K104:O104)</f>
        <v>1.3</v>
      </c>
    </row>
    <row r="110" spans="1:15" x14ac:dyDescent="0.3">
      <c r="A110" t="s">
        <v>7</v>
      </c>
      <c r="B110">
        <v>0</v>
      </c>
      <c r="C110">
        <v>2017</v>
      </c>
      <c r="D110">
        <f t="shared" si="42"/>
        <v>10.599999999999994</v>
      </c>
      <c r="E110">
        <f t="shared" ref="E110" si="86">F110+E111</f>
        <v>89.4</v>
      </c>
      <c r="F110">
        <v>17.2</v>
      </c>
      <c r="G110">
        <v>29.8</v>
      </c>
      <c r="H110">
        <v>22.3</v>
      </c>
      <c r="I110">
        <v>10.7</v>
      </c>
      <c r="J110">
        <v>5.0999999999999996</v>
      </c>
      <c r="K110">
        <v>2.4</v>
      </c>
      <c r="L110">
        <v>1</v>
      </c>
      <c r="M110">
        <v>0.5</v>
      </c>
      <c r="N110">
        <v>0.3</v>
      </c>
      <c r="O110">
        <v>0.1</v>
      </c>
    </row>
    <row r="111" spans="1:15" x14ac:dyDescent="0.3">
      <c r="A111" t="s">
        <v>7</v>
      </c>
      <c r="B111">
        <v>1</v>
      </c>
      <c r="C111">
        <v>2017</v>
      </c>
      <c r="D111">
        <f t="shared" si="42"/>
        <v>27.799999999999997</v>
      </c>
      <c r="E111">
        <f t="shared" ref="E111" si="87">G110+E112</f>
        <v>72.2</v>
      </c>
    </row>
    <row r="112" spans="1:15" x14ac:dyDescent="0.3">
      <c r="A112" t="s">
        <v>12</v>
      </c>
      <c r="B112">
        <v>2</v>
      </c>
      <c r="C112">
        <v>2017</v>
      </c>
      <c r="D112">
        <f t="shared" si="42"/>
        <v>57.6</v>
      </c>
      <c r="E112">
        <f t="shared" ref="E112" si="88">H110+E113</f>
        <v>42.4</v>
      </c>
    </row>
    <row r="113" spans="1:15" x14ac:dyDescent="0.3">
      <c r="A113" t="s">
        <v>12</v>
      </c>
      <c r="B113">
        <v>3</v>
      </c>
      <c r="C113">
        <v>2017</v>
      </c>
      <c r="D113">
        <f t="shared" si="42"/>
        <v>79.900000000000006</v>
      </c>
      <c r="E113">
        <f t="shared" ref="E113" si="89">I110+E114</f>
        <v>20.099999999999998</v>
      </c>
    </row>
    <row r="114" spans="1:15" x14ac:dyDescent="0.3">
      <c r="A114" t="s">
        <v>12</v>
      </c>
      <c r="B114">
        <v>4</v>
      </c>
      <c r="C114">
        <v>2017</v>
      </c>
      <c r="D114">
        <f t="shared" si="42"/>
        <v>90.6</v>
      </c>
      <c r="E114">
        <f t="shared" ref="E114" si="90">J110+E115</f>
        <v>9.3999999999999986</v>
      </c>
    </row>
    <row r="115" spans="1:15" x14ac:dyDescent="0.3">
      <c r="A115" t="s">
        <v>12</v>
      </c>
      <c r="B115">
        <v>5</v>
      </c>
      <c r="C115">
        <v>2017</v>
      </c>
      <c r="D115">
        <f t="shared" si="42"/>
        <v>95.7</v>
      </c>
      <c r="E115">
        <f t="shared" ref="E115" si="91">SUM(K110:O110)</f>
        <v>4.3</v>
      </c>
    </row>
    <row r="116" spans="1:15" x14ac:dyDescent="0.3">
      <c r="A116" t="s">
        <v>8</v>
      </c>
      <c r="B116">
        <v>0</v>
      </c>
      <c r="C116">
        <v>2017</v>
      </c>
      <c r="D116">
        <f t="shared" si="42"/>
        <v>8.0000000000000142</v>
      </c>
      <c r="E116">
        <f t="shared" ref="E116" si="92">F116+E117</f>
        <v>91.999999999999986</v>
      </c>
      <c r="F116">
        <v>12.8</v>
      </c>
      <c r="G116">
        <v>26.6</v>
      </c>
      <c r="H116">
        <v>22.9</v>
      </c>
      <c r="I116">
        <v>14.2</v>
      </c>
      <c r="J116">
        <v>6.9</v>
      </c>
      <c r="K116">
        <v>4.0999999999999996</v>
      </c>
      <c r="L116">
        <v>2.2999999999999998</v>
      </c>
      <c r="M116">
        <v>1.4</v>
      </c>
      <c r="N116">
        <v>0.4</v>
      </c>
      <c r="O116">
        <v>0.4</v>
      </c>
    </row>
    <row r="117" spans="1:15" x14ac:dyDescent="0.3">
      <c r="A117" t="s">
        <v>8</v>
      </c>
      <c r="B117">
        <v>1</v>
      </c>
      <c r="C117">
        <v>2017</v>
      </c>
      <c r="D117">
        <f t="shared" si="42"/>
        <v>20.800000000000011</v>
      </c>
      <c r="E117">
        <f t="shared" ref="E117" si="93">G116+E118</f>
        <v>79.199999999999989</v>
      </c>
    </row>
    <row r="118" spans="1:15" x14ac:dyDescent="0.3">
      <c r="A118" t="s">
        <v>13</v>
      </c>
      <c r="B118">
        <v>2</v>
      </c>
      <c r="C118">
        <v>2017</v>
      </c>
      <c r="D118">
        <f t="shared" si="42"/>
        <v>47.400000000000006</v>
      </c>
      <c r="E118">
        <f t="shared" ref="E118" si="94">H116+E119</f>
        <v>52.599999999999994</v>
      </c>
    </row>
    <row r="119" spans="1:15" x14ac:dyDescent="0.3">
      <c r="A119" t="s">
        <v>13</v>
      </c>
      <c r="B119">
        <v>3</v>
      </c>
      <c r="C119">
        <v>2017</v>
      </c>
      <c r="D119">
        <f t="shared" si="42"/>
        <v>70.3</v>
      </c>
      <c r="E119">
        <f t="shared" ref="E119" si="95">I116+E120</f>
        <v>29.7</v>
      </c>
    </row>
    <row r="120" spans="1:15" x14ac:dyDescent="0.3">
      <c r="A120" t="s">
        <v>13</v>
      </c>
      <c r="B120">
        <v>4</v>
      </c>
      <c r="C120">
        <v>2017</v>
      </c>
      <c r="D120">
        <f t="shared" si="42"/>
        <v>84.5</v>
      </c>
      <c r="E120">
        <f t="shared" ref="E120" si="96">J116+E121</f>
        <v>15.5</v>
      </c>
    </row>
    <row r="121" spans="1:15" x14ac:dyDescent="0.3">
      <c r="A121" t="s">
        <v>13</v>
      </c>
      <c r="B121">
        <v>5</v>
      </c>
      <c r="C121">
        <v>2017</v>
      </c>
      <c r="D121">
        <f t="shared" si="42"/>
        <v>91.4</v>
      </c>
      <c r="E121">
        <f t="shared" ref="E121" si="97">SUM(K116:O116)</f>
        <v>8.6</v>
      </c>
    </row>
    <row r="122" spans="1:15" x14ac:dyDescent="0.3">
      <c r="A122" t="s">
        <v>9</v>
      </c>
      <c r="B122">
        <v>0</v>
      </c>
      <c r="C122">
        <v>2017</v>
      </c>
      <c r="D122">
        <f t="shared" si="42"/>
        <v>6.7999999999999972</v>
      </c>
      <c r="E122">
        <f t="shared" ref="E122" si="98">F122+E123</f>
        <v>93.2</v>
      </c>
      <c r="F122">
        <v>10.4</v>
      </c>
      <c r="G122">
        <v>23</v>
      </c>
      <c r="H122">
        <v>24.2</v>
      </c>
      <c r="I122">
        <v>14.4</v>
      </c>
      <c r="J122">
        <v>8.6</v>
      </c>
      <c r="K122">
        <v>5.2</v>
      </c>
      <c r="L122">
        <v>3.1</v>
      </c>
      <c r="M122">
        <v>2</v>
      </c>
      <c r="N122">
        <v>1.2</v>
      </c>
      <c r="O122">
        <v>1.1000000000000001</v>
      </c>
    </row>
    <row r="123" spans="1:15" x14ac:dyDescent="0.3">
      <c r="A123" t="s">
        <v>9</v>
      </c>
      <c r="B123">
        <v>1</v>
      </c>
      <c r="C123">
        <v>2017</v>
      </c>
      <c r="D123">
        <f t="shared" si="42"/>
        <v>17.200000000000003</v>
      </c>
      <c r="E123">
        <f t="shared" ref="E123" si="99">G122+E124</f>
        <v>82.8</v>
      </c>
    </row>
    <row r="124" spans="1:15" x14ac:dyDescent="0.3">
      <c r="A124" t="s">
        <v>9</v>
      </c>
      <c r="B124">
        <v>2</v>
      </c>
      <c r="C124">
        <v>2017</v>
      </c>
      <c r="D124">
        <f t="shared" si="42"/>
        <v>40.200000000000003</v>
      </c>
      <c r="E124">
        <f t="shared" ref="E124" si="100">H122+E125</f>
        <v>59.8</v>
      </c>
    </row>
    <row r="125" spans="1:15" x14ac:dyDescent="0.3">
      <c r="A125" t="s">
        <v>9</v>
      </c>
      <c r="B125">
        <v>3</v>
      </c>
      <c r="C125">
        <v>2017</v>
      </c>
      <c r="D125">
        <f t="shared" si="42"/>
        <v>64.400000000000006</v>
      </c>
      <c r="E125">
        <f t="shared" ref="E125" si="101">I122+E126</f>
        <v>35.6</v>
      </c>
    </row>
    <row r="126" spans="1:15" x14ac:dyDescent="0.3">
      <c r="A126" t="s">
        <v>9</v>
      </c>
      <c r="B126">
        <v>4</v>
      </c>
      <c r="C126">
        <v>2017</v>
      </c>
      <c r="D126">
        <f t="shared" si="42"/>
        <v>78.8</v>
      </c>
      <c r="E126">
        <f t="shared" ref="E126" si="102">J122+E127</f>
        <v>21.2</v>
      </c>
    </row>
    <row r="127" spans="1:15" x14ac:dyDescent="0.3">
      <c r="A127" t="s">
        <v>9</v>
      </c>
      <c r="B127">
        <v>5</v>
      </c>
      <c r="C127">
        <v>2017</v>
      </c>
      <c r="D127">
        <f t="shared" si="42"/>
        <v>87.4</v>
      </c>
      <c r="E127">
        <f t="shared" ref="E127" si="103">SUM(K122:O122)</f>
        <v>12.6</v>
      </c>
    </row>
    <row r="128" spans="1:15" x14ac:dyDescent="0.3">
      <c r="A128" t="s">
        <v>3</v>
      </c>
      <c r="B128">
        <v>0</v>
      </c>
      <c r="C128">
        <v>2018</v>
      </c>
      <c r="D128">
        <f t="shared" si="42"/>
        <v>90.6</v>
      </c>
      <c r="E128">
        <f t="shared" ref="E128" si="104">F128+E129</f>
        <v>9.4</v>
      </c>
      <c r="F128">
        <v>8.3000000000000007</v>
      </c>
      <c r="G128">
        <v>1</v>
      </c>
      <c r="H128">
        <v>0.1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">
      <c r="A129" t="s">
        <v>3</v>
      </c>
      <c r="B129">
        <v>1</v>
      </c>
      <c r="C129">
        <v>2018</v>
      </c>
      <c r="D129">
        <f t="shared" si="42"/>
        <v>98.9</v>
      </c>
      <c r="E129">
        <f t="shared" ref="E129" si="105">G128+E130</f>
        <v>1.1000000000000001</v>
      </c>
    </row>
    <row r="130" spans="1:15" x14ac:dyDescent="0.3">
      <c r="A130" t="s">
        <v>3</v>
      </c>
      <c r="B130">
        <v>2</v>
      </c>
      <c r="C130">
        <v>2018</v>
      </c>
      <c r="D130">
        <f t="shared" si="42"/>
        <v>99.9</v>
      </c>
      <c r="E130">
        <f t="shared" ref="E130" si="106">H128+E131</f>
        <v>0.1</v>
      </c>
    </row>
    <row r="131" spans="1:15" x14ac:dyDescent="0.3">
      <c r="A131" t="s">
        <v>17</v>
      </c>
      <c r="B131">
        <v>3</v>
      </c>
      <c r="C131">
        <v>2018</v>
      </c>
      <c r="D131">
        <f t="shared" ref="D131:D194" si="107">100-E131</f>
        <v>100</v>
      </c>
      <c r="E131">
        <f t="shared" ref="E131" si="108">I128+E132</f>
        <v>0</v>
      </c>
    </row>
    <row r="132" spans="1:15" x14ac:dyDescent="0.3">
      <c r="A132" t="s">
        <v>17</v>
      </c>
      <c r="B132">
        <v>4</v>
      </c>
      <c r="C132">
        <v>2018</v>
      </c>
      <c r="D132">
        <f t="shared" si="107"/>
        <v>100</v>
      </c>
      <c r="E132">
        <f t="shared" ref="E132" si="109">J128+E133</f>
        <v>0</v>
      </c>
    </row>
    <row r="133" spans="1:15" x14ac:dyDescent="0.3">
      <c r="A133" t="s">
        <v>17</v>
      </c>
      <c r="B133">
        <v>5</v>
      </c>
      <c r="C133">
        <v>2018</v>
      </c>
      <c r="D133">
        <f t="shared" si="107"/>
        <v>100</v>
      </c>
      <c r="E133">
        <f t="shared" ref="E133" si="110">SUM(K128:O128)</f>
        <v>0</v>
      </c>
    </row>
    <row r="134" spans="1:15" x14ac:dyDescent="0.3">
      <c r="A134" t="s">
        <v>4</v>
      </c>
      <c r="B134">
        <v>0</v>
      </c>
      <c r="C134">
        <v>2018</v>
      </c>
      <c r="D134">
        <f t="shared" si="107"/>
        <v>57</v>
      </c>
      <c r="E134">
        <f t="shared" ref="E134" si="111">F134+E135</f>
        <v>43</v>
      </c>
      <c r="F134">
        <v>29.9</v>
      </c>
      <c r="G134">
        <v>10.6</v>
      </c>
      <c r="H134">
        <v>2</v>
      </c>
      <c r="I134">
        <v>0.4</v>
      </c>
      <c r="J134">
        <v>0.1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">
      <c r="A135" t="s">
        <v>4</v>
      </c>
      <c r="B135">
        <v>1</v>
      </c>
      <c r="C135">
        <v>2018</v>
      </c>
      <c r="D135">
        <f t="shared" si="107"/>
        <v>86.9</v>
      </c>
      <c r="E135">
        <f t="shared" ref="E135" si="112">G134+E136</f>
        <v>13.1</v>
      </c>
    </row>
    <row r="136" spans="1:15" x14ac:dyDescent="0.3">
      <c r="A136" t="s">
        <v>15</v>
      </c>
      <c r="B136">
        <v>2</v>
      </c>
      <c r="C136">
        <v>2018</v>
      </c>
      <c r="D136">
        <f t="shared" si="107"/>
        <v>97.5</v>
      </c>
      <c r="E136">
        <f t="shared" ref="E136" si="113">H134+E137</f>
        <v>2.5</v>
      </c>
    </row>
    <row r="137" spans="1:15" x14ac:dyDescent="0.3">
      <c r="A137" t="s">
        <v>15</v>
      </c>
      <c r="B137">
        <v>3</v>
      </c>
      <c r="C137">
        <v>2018</v>
      </c>
      <c r="D137">
        <f t="shared" si="107"/>
        <v>99.5</v>
      </c>
      <c r="E137">
        <f t="shared" ref="E137" si="114">I134+E138</f>
        <v>0.5</v>
      </c>
    </row>
    <row r="138" spans="1:15" x14ac:dyDescent="0.3">
      <c r="A138" t="s">
        <v>15</v>
      </c>
      <c r="B138">
        <v>4</v>
      </c>
      <c r="C138">
        <v>2018</v>
      </c>
      <c r="D138">
        <f t="shared" si="107"/>
        <v>99.9</v>
      </c>
      <c r="E138">
        <f t="shared" ref="E138" si="115">J134+E139</f>
        <v>0.1</v>
      </c>
    </row>
    <row r="139" spans="1:15" x14ac:dyDescent="0.3">
      <c r="A139" t="s">
        <v>15</v>
      </c>
      <c r="B139">
        <v>5</v>
      </c>
      <c r="C139">
        <v>2018</v>
      </c>
      <c r="D139">
        <f t="shared" si="107"/>
        <v>100</v>
      </c>
      <c r="E139">
        <f t="shared" ref="E139" si="116">SUM(K134:O134)</f>
        <v>0</v>
      </c>
    </row>
    <row r="140" spans="1:15" x14ac:dyDescent="0.3">
      <c r="A140" t="s">
        <v>5</v>
      </c>
      <c r="B140">
        <v>0</v>
      </c>
      <c r="C140">
        <v>2018</v>
      </c>
      <c r="D140">
        <f t="shared" si="107"/>
        <v>29.599999999999994</v>
      </c>
      <c r="E140">
        <f t="shared" ref="E140" si="117">F140+E141</f>
        <v>70.400000000000006</v>
      </c>
      <c r="F140">
        <v>33.4</v>
      </c>
      <c r="G140">
        <v>25.3</v>
      </c>
      <c r="H140">
        <v>8.5</v>
      </c>
      <c r="I140">
        <v>2.5</v>
      </c>
      <c r="J140">
        <v>0.6</v>
      </c>
      <c r="K140">
        <v>0.1</v>
      </c>
      <c r="L140">
        <v>0</v>
      </c>
      <c r="M140">
        <v>0</v>
      </c>
      <c r="N140">
        <v>0</v>
      </c>
      <c r="O140">
        <v>0</v>
      </c>
    </row>
    <row r="141" spans="1:15" x14ac:dyDescent="0.3">
      <c r="A141" t="s">
        <v>5</v>
      </c>
      <c r="B141">
        <v>1</v>
      </c>
      <c r="C141">
        <v>2018</v>
      </c>
      <c r="D141">
        <f t="shared" si="107"/>
        <v>63</v>
      </c>
      <c r="E141">
        <f t="shared" ref="E141" si="118">G140+E142</f>
        <v>37</v>
      </c>
    </row>
    <row r="142" spans="1:15" x14ac:dyDescent="0.3">
      <c r="A142" t="s">
        <v>16</v>
      </c>
      <c r="B142">
        <v>2</v>
      </c>
      <c r="C142">
        <v>2018</v>
      </c>
      <c r="D142">
        <f t="shared" si="107"/>
        <v>88.3</v>
      </c>
      <c r="E142">
        <f t="shared" ref="E142" si="119">H140+E143</f>
        <v>11.7</v>
      </c>
    </row>
    <row r="143" spans="1:15" x14ac:dyDescent="0.3">
      <c r="A143" t="s">
        <v>16</v>
      </c>
      <c r="B143">
        <v>3</v>
      </c>
      <c r="C143">
        <v>2018</v>
      </c>
      <c r="D143">
        <f t="shared" si="107"/>
        <v>96.8</v>
      </c>
      <c r="E143">
        <f t="shared" ref="E143" si="120">I140+E144</f>
        <v>3.2</v>
      </c>
    </row>
    <row r="144" spans="1:15" x14ac:dyDescent="0.3">
      <c r="A144" t="s">
        <v>16</v>
      </c>
      <c r="B144">
        <v>4</v>
      </c>
      <c r="C144">
        <v>2018</v>
      </c>
      <c r="D144">
        <f t="shared" si="107"/>
        <v>99.3</v>
      </c>
      <c r="E144">
        <f t="shared" ref="E144" si="121">J140+E145</f>
        <v>0.7</v>
      </c>
    </row>
    <row r="145" spans="1:15" x14ac:dyDescent="0.3">
      <c r="A145" t="s">
        <v>16</v>
      </c>
      <c r="B145">
        <v>5</v>
      </c>
      <c r="C145">
        <v>2018</v>
      </c>
      <c r="D145">
        <f t="shared" si="107"/>
        <v>99.9</v>
      </c>
      <c r="E145">
        <f t="shared" ref="E145" si="122">SUM(K140:O140)</f>
        <v>0.1</v>
      </c>
    </row>
    <row r="146" spans="1:15" x14ac:dyDescent="0.3">
      <c r="A146" t="s">
        <v>6</v>
      </c>
      <c r="B146">
        <v>0</v>
      </c>
      <c r="C146">
        <v>2018</v>
      </c>
      <c r="D146">
        <f t="shared" si="107"/>
        <v>15.699999999999989</v>
      </c>
      <c r="E146">
        <f t="shared" ref="E146" si="123">F146+E147</f>
        <v>84.300000000000011</v>
      </c>
      <c r="F146">
        <v>24.9</v>
      </c>
      <c r="G146">
        <v>32</v>
      </c>
      <c r="H146">
        <v>17.600000000000001</v>
      </c>
      <c r="I146">
        <v>6.4</v>
      </c>
      <c r="J146">
        <v>2.2000000000000002</v>
      </c>
      <c r="K146">
        <v>0.8</v>
      </c>
      <c r="L146">
        <v>0.3</v>
      </c>
      <c r="M146">
        <v>0.1</v>
      </c>
      <c r="N146">
        <v>0</v>
      </c>
      <c r="O146">
        <v>0</v>
      </c>
    </row>
    <row r="147" spans="1:15" x14ac:dyDescent="0.3">
      <c r="A147" t="s">
        <v>6</v>
      </c>
      <c r="B147">
        <v>1</v>
      </c>
      <c r="C147">
        <v>2018</v>
      </c>
      <c r="D147">
        <f t="shared" si="107"/>
        <v>40.599999999999994</v>
      </c>
      <c r="E147">
        <f t="shared" ref="E147" si="124">G146+E148</f>
        <v>59.400000000000006</v>
      </c>
    </row>
    <row r="148" spans="1:15" x14ac:dyDescent="0.3">
      <c r="A148" t="s">
        <v>11</v>
      </c>
      <c r="B148">
        <v>2</v>
      </c>
      <c r="C148">
        <v>2018</v>
      </c>
      <c r="D148">
        <f t="shared" si="107"/>
        <v>72.599999999999994</v>
      </c>
      <c r="E148">
        <f t="shared" ref="E148" si="125">H146+E149</f>
        <v>27.400000000000002</v>
      </c>
    </row>
    <row r="149" spans="1:15" x14ac:dyDescent="0.3">
      <c r="A149" t="s">
        <v>11</v>
      </c>
      <c r="B149">
        <v>3</v>
      </c>
      <c r="C149">
        <v>2018</v>
      </c>
      <c r="D149">
        <f t="shared" si="107"/>
        <v>90.2</v>
      </c>
      <c r="E149">
        <f t="shared" ref="E149" si="126">I146+E150</f>
        <v>9.8000000000000007</v>
      </c>
    </row>
    <row r="150" spans="1:15" x14ac:dyDescent="0.3">
      <c r="A150" t="s">
        <v>11</v>
      </c>
      <c r="B150">
        <v>4</v>
      </c>
      <c r="C150">
        <v>2018</v>
      </c>
      <c r="D150">
        <f t="shared" si="107"/>
        <v>96.6</v>
      </c>
      <c r="E150">
        <f t="shared" ref="E150" si="127">J146+E151</f>
        <v>3.4000000000000004</v>
      </c>
    </row>
    <row r="151" spans="1:15" x14ac:dyDescent="0.3">
      <c r="A151" t="s">
        <v>11</v>
      </c>
      <c r="B151">
        <v>5</v>
      </c>
      <c r="C151">
        <v>2018</v>
      </c>
      <c r="D151">
        <f t="shared" si="107"/>
        <v>98.8</v>
      </c>
      <c r="E151">
        <f t="shared" ref="E151" si="128">SUM(K146:O146)</f>
        <v>1.2000000000000002</v>
      </c>
    </row>
    <row r="152" spans="1:15" x14ac:dyDescent="0.3">
      <c r="A152" t="s">
        <v>7</v>
      </c>
      <c r="B152">
        <v>0</v>
      </c>
      <c r="C152">
        <v>2018</v>
      </c>
      <c r="D152">
        <f t="shared" si="107"/>
        <v>10</v>
      </c>
      <c r="E152">
        <f t="shared" ref="E152" si="129">F152+E153</f>
        <v>90</v>
      </c>
      <c r="F152">
        <v>17.3</v>
      </c>
      <c r="G152">
        <v>31.8</v>
      </c>
      <c r="H152">
        <v>22.2</v>
      </c>
      <c r="I152">
        <v>10.3</v>
      </c>
      <c r="J152">
        <v>4.5999999999999996</v>
      </c>
      <c r="K152">
        <v>1.9</v>
      </c>
      <c r="L152">
        <v>1.1000000000000001</v>
      </c>
      <c r="M152">
        <v>0.4</v>
      </c>
      <c r="N152">
        <v>0.2</v>
      </c>
      <c r="O152">
        <v>0.2</v>
      </c>
    </row>
    <row r="153" spans="1:15" x14ac:dyDescent="0.3">
      <c r="A153" t="s">
        <v>7</v>
      </c>
      <c r="B153">
        <v>1</v>
      </c>
      <c r="C153">
        <v>2018</v>
      </c>
      <c r="D153">
        <f t="shared" si="107"/>
        <v>27.299999999999997</v>
      </c>
      <c r="E153">
        <f t="shared" ref="E153" si="130">G152+E154</f>
        <v>72.7</v>
      </c>
    </row>
    <row r="154" spans="1:15" x14ac:dyDescent="0.3">
      <c r="A154" t="s">
        <v>12</v>
      </c>
      <c r="B154">
        <v>2</v>
      </c>
      <c r="C154">
        <v>2018</v>
      </c>
      <c r="D154">
        <f t="shared" si="107"/>
        <v>59.099999999999994</v>
      </c>
      <c r="E154">
        <f t="shared" ref="E154" si="131">H152+E155</f>
        <v>40.900000000000006</v>
      </c>
    </row>
    <row r="155" spans="1:15" x14ac:dyDescent="0.3">
      <c r="A155" t="s">
        <v>12</v>
      </c>
      <c r="B155">
        <v>3</v>
      </c>
      <c r="C155">
        <v>2018</v>
      </c>
      <c r="D155">
        <f t="shared" si="107"/>
        <v>81.3</v>
      </c>
      <c r="E155">
        <f t="shared" ref="E155" si="132">I152+E156</f>
        <v>18.700000000000003</v>
      </c>
    </row>
    <row r="156" spans="1:15" x14ac:dyDescent="0.3">
      <c r="A156" t="s">
        <v>12</v>
      </c>
      <c r="B156">
        <v>4</v>
      </c>
      <c r="C156">
        <v>2018</v>
      </c>
      <c r="D156">
        <f t="shared" si="107"/>
        <v>91.6</v>
      </c>
      <c r="E156">
        <f t="shared" ref="E156" si="133">J152+E157</f>
        <v>8.4</v>
      </c>
    </row>
    <row r="157" spans="1:15" x14ac:dyDescent="0.3">
      <c r="A157" t="s">
        <v>12</v>
      </c>
      <c r="B157">
        <v>5</v>
      </c>
      <c r="C157">
        <v>2018</v>
      </c>
      <c r="D157">
        <f t="shared" si="107"/>
        <v>96.2</v>
      </c>
      <c r="E157">
        <f t="shared" ref="E157" si="134">SUM(K152:O152)</f>
        <v>3.8000000000000003</v>
      </c>
    </row>
    <row r="158" spans="1:15" x14ac:dyDescent="0.3">
      <c r="A158" t="s">
        <v>8</v>
      </c>
      <c r="B158">
        <v>0</v>
      </c>
      <c r="C158">
        <v>2018</v>
      </c>
      <c r="D158">
        <f t="shared" si="107"/>
        <v>7.2999999999999972</v>
      </c>
      <c r="E158">
        <f t="shared" ref="E158" si="135">F158+E159</f>
        <v>92.7</v>
      </c>
      <c r="F158">
        <v>14.4</v>
      </c>
      <c r="G158">
        <v>28</v>
      </c>
      <c r="H158">
        <v>22.3</v>
      </c>
      <c r="I158">
        <v>14</v>
      </c>
      <c r="J158">
        <v>6.7</v>
      </c>
      <c r="K158">
        <v>3.9</v>
      </c>
      <c r="L158">
        <v>1.6</v>
      </c>
      <c r="M158">
        <v>1.1000000000000001</v>
      </c>
      <c r="N158">
        <v>0.3</v>
      </c>
      <c r="O158">
        <v>0.4</v>
      </c>
    </row>
    <row r="159" spans="1:15" x14ac:dyDescent="0.3">
      <c r="A159" t="s">
        <v>8</v>
      </c>
      <c r="B159">
        <v>1</v>
      </c>
      <c r="C159">
        <v>2018</v>
      </c>
      <c r="D159">
        <f t="shared" si="107"/>
        <v>21.700000000000003</v>
      </c>
      <c r="E159">
        <f t="shared" ref="E159" si="136">G158+E160</f>
        <v>78.3</v>
      </c>
    </row>
    <row r="160" spans="1:15" x14ac:dyDescent="0.3">
      <c r="A160" t="s">
        <v>13</v>
      </c>
      <c r="B160">
        <v>2</v>
      </c>
      <c r="C160">
        <v>2018</v>
      </c>
      <c r="D160">
        <f t="shared" si="107"/>
        <v>49.7</v>
      </c>
      <c r="E160">
        <f t="shared" ref="E160" si="137">H158+E161</f>
        <v>50.3</v>
      </c>
    </row>
    <row r="161" spans="1:15" x14ac:dyDescent="0.3">
      <c r="A161" t="s">
        <v>13</v>
      </c>
      <c r="B161">
        <v>3</v>
      </c>
      <c r="C161">
        <v>2018</v>
      </c>
      <c r="D161">
        <f t="shared" si="107"/>
        <v>72</v>
      </c>
      <c r="E161">
        <f t="shared" ref="E161" si="138">I158+E162</f>
        <v>28</v>
      </c>
    </row>
    <row r="162" spans="1:15" x14ac:dyDescent="0.3">
      <c r="A162" t="s">
        <v>13</v>
      </c>
      <c r="B162">
        <v>4</v>
      </c>
      <c r="C162">
        <v>2018</v>
      </c>
      <c r="D162">
        <f t="shared" si="107"/>
        <v>86</v>
      </c>
      <c r="E162">
        <f t="shared" ref="E162" si="139">J158+E163</f>
        <v>14</v>
      </c>
    </row>
    <row r="163" spans="1:15" x14ac:dyDescent="0.3">
      <c r="A163" t="s">
        <v>13</v>
      </c>
      <c r="B163">
        <v>5</v>
      </c>
      <c r="C163">
        <v>2018</v>
      </c>
      <c r="D163">
        <f t="shared" si="107"/>
        <v>92.7</v>
      </c>
      <c r="E163">
        <f t="shared" ref="E163" si="140">SUM(K158:O158)</f>
        <v>7.3</v>
      </c>
    </row>
    <row r="164" spans="1:15" x14ac:dyDescent="0.3">
      <c r="A164" t="s">
        <v>9</v>
      </c>
      <c r="B164">
        <v>0</v>
      </c>
      <c r="C164">
        <v>2018</v>
      </c>
      <c r="D164">
        <f t="shared" si="107"/>
        <v>7.2000000000000028</v>
      </c>
      <c r="E164">
        <f t="shared" ref="E164" si="141">F164+E165</f>
        <v>92.8</v>
      </c>
      <c r="F164">
        <v>11</v>
      </c>
      <c r="G164">
        <v>25</v>
      </c>
      <c r="H164">
        <v>23.7</v>
      </c>
      <c r="I164">
        <v>13.1</v>
      </c>
      <c r="J164">
        <v>8</v>
      </c>
      <c r="K164">
        <v>5.2</v>
      </c>
      <c r="L164">
        <v>2.9</v>
      </c>
      <c r="M164">
        <v>2</v>
      </c>
      <c r="N164">
        <v>1</v>
      </c>
      <c r="O164">
        <v>0.9</v>
      </c>
    </row>
    <row r="165" spans="1:15" x14ac:dyDescent="0.3">
      <c r="A165" t="s">
        <v>9</v>
      </c>
      <c r="B165">
        <v>1</v>
      </c>
      <c r="C165">
        <v>2018</v>
      </c>
      <c r="D165">
        <f t="shared" si="107"/>
        <v>18.200000000000003</v>
      </c>
      <c r="E165">
        <f t="shared" ref="E165" si="142">G164+E166</f>
        <v>81.8</v>
      </c>
    </row>
    <row r="166" spans="1:15" x14ac:dyDescent="0.3">
      <c r="A166" t="s">
        <v>14</v>
      </c>
      <c r="B166">
        <v>2</v>
      </c>
      <c r="C166">
        <v>2018</v>
      </c>
      <c r="D166">
        <f t="shared" si="107"/>
        <v>43.2</v>
      </c>
      <c r="E166">
        <f t="shared" ref="E166" si="143">H164+E167</f>
        <v>56.8</v>
      </c>
    </row>
    <row r="167" spans="1:15" x14ac:dyDescent="0.3">
      <c r="A167" t="s">
        <v>14</v>
      </c>
      <c r="B167">
        <v>3</v>
      </c>
      <c r="C167">
        <v>2018</v>
      </c>
      <c r="D167">
        <f t="shared" si="107"/>
        <v>66.900000000000006</v>
      </c>
      <c r="E167">
        <f t="shared" ref="E167" si="144">I164+E168</f>
        <v>33.1</v>
      </c>
    </row>
    <row r="168" spans="1:15" x14ac:dyDescent="0.3">
      <c r="A168" t="s">
        <v>14</v>
      </c>
      <c r="B168">
        <v>4</v>
      </c>
      <c r="C168">
        <v>2018</v>
      </c>
      <c r="D168">
        <f t="shared" si="107"/>
        <v>80</v>
      </c>
      <c r="E168">
        <f t="shared" ref="E168" si="145">J164+E169</f>
        <v>20</v>
      </c>
    </row>
    <row r="169" spans="1:15" x14ac:dyDescent="0.3">
      <c r="A169" t="s">
        <v>14</v>
      </c>
      <c r="B169">
        <v>5</v>
      </c>
      <c r="C169">
        <v>2018</v>
      </c>
      <c r="D169">
        <f t="shared" si="107"/>
        <v>88</v>
      </c>
      <c r="E169">
        <f t="shared" ref="E169" si="146">SUM(K164:O164)</f>
        <v>12</v>
      </c>
    </row>
    <row r="170" spans="1:15" x14ac:dyDescent="0.3">
      <c r="A170" t="s">
        <v>3</v>
      </c>
      <c r="B170">
        <v>0</v>
      </c>
      <c r="C170">
        <v>2020</v>
      </c>
      <c r="D170">
        <f t="shared" si="107"/>
        <v>93.4</v>
      </c>
      <c r="E170">
        <f t="shared" ref="E170" si="147">F170+E171</f>
        <v>6.6000000000000005</v>
      </c>
      <c r="F170">
        <v>5.9</v>
      </c>
      <c r="G170">
        <v>0.6</v>
      </c>
      <c r="H170">
        <v>0.1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">
      <c r="A171" t="s">
        <v>3</v>
      </c>
      <c r="B171">
        <v>1</v>
      </c>
      <c r="C171">
        <v>2020</v>
      </c>
      <c r="D171">
        <f t="shared" si="107"/>
        <v>99.3</v>
      </c>
      <c r="E171">
        <f t="shared" ref="E171" si="148">G170+E172</f>
        <v>0.7</v>
      </c>
    </row>
    <row r="172" spans="1:15" x14ac:dyDescent="0.3">
      <c r="A172" t="s">
        <v>3</v>
      </c>
      <c r="B172">
        <v>2</v>
      </c>
      <c r="C172">
        <v>2020</v>
      </c>
      <c r="D172">
        <f t="shared" si="107"/>
        <v>99.9</v>
      </c>
      <c r="E172">
        <f t="shared" ref="E172" si="149">H170+E173</f>
        <v>0.1</v>
      </c>
    </row>
    <row r="173" spans="1:15" x14ac:dyDescent="0.3">
      <c r="A173" t="s">
        <v>17</v>
      </c>
      <c r="B173">
        <v>3</v>
      </c>
      <c r="C173">
        <v>2020</v>
      </c>
      <c r="D173">
        <f t="shared" si="107"/>
        <v>100</v>
      </c>
      <c r="E173">
        <f t="shared" ref="E173" si="150">I170+E174</f>
        <v>0</v>
      </c>
    </row>
    <row r="174" spans="1:15" x14ac:dyDescent="0.3">
      <c r="A174" t="s">
        <v>17</v>
      </c>
      <c r="B174">
        <v>4</v>
      </c>
      <c r="C174">
        <v>2020</v>
      </c>
      <c r="D174">
        <f t="shared" si="107"/>
        <v>100</v>
      </c>
      <c r="E174">
        <f t="shared" ref="E174" si="151">J170+E175</f>
        <v>0</v>
      </c>
    </row>
    <row r="175" spans="1:15" x14ac:dyDescent="0.3">
      <c r="A175" t="s">
        <v>17</v>
      </c>
      <c r="B175">
        <v>5</v>
      </c>
      <c r="C175">
        <v>2020</v>
      </c>
      <c r="D175">
        <f t="shared" si="107"/>
        <v>100</v>
      </c>
      <c r="E175">
        <f t="shared" ref="E175" si="152">SUM(K170:O170)</f>
        <v>0</v>
      </c>
    </row>
    <row r="176" spans="1:15" x14ac:dyDescent="0.3">
      <c r="A176" t="s">
        <v>4</v>
      </c>
      <c r="B176">
        <v>0</v>
      </c>
      <c r="C176">
        <v>2020</v>
      </c>
      <c r="D176">
        <f t="shared" si="107"/>
        <v>64.900000000000006</v>
      </c>
      <c r="E176">
        <f t="shared" ref="E176" si="153">F176+E177</f>
        <v>35.099999999999994</v>
      </c>
      <c r="F176">
        <v>24.9</v>
      </c>
      <c r="G176">
        <v>8.5</v>
      </c>
      <c r="H176">
        <v>1.5</v>
      </c>
      <c r="I176">
        <v>0.2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">
      <c r="A177" t="s">
        <v>15</v>
      </c>
      <c r="B177">
        <v>1</v>
      </c>
      <c r="C177">
        <v>2020</v>
      </c>
      <c r="D177">
        <f t="shared" si="107"/>
        <v>89.8</v>
      </c>
      <c r="E177">
        <f t="shared" ref="E177" si="154">G176+E178</f>
        <v>10.199999999999999</v>
      </c>
    </row>
    <row r="178" spans="1:15" x14ac:dyDescent="0.3">
      <c r="A178" t="s">
        <v>15</v>
      </c>
      <c r="B178">
        <v>2</v>
      </c>
      <c r="C178">
        <v>2020</v>
      </c>
      <c r="D178">
        <f t="shared" si="107"/>
        <v>98.3</v>
      </c>
      <c r="E178">
        <f t="shared" ref="E178" si="155">H176+E179</f>
        <v>1.7</v>
      </c>
    </row>
    <row r="179" spans="1:15" x14ac:dyDescent="0.3">
      <c r="A179" t="s">
        <v>15</v>
      </c>
      <c r="B179">
        <v>3</v>
      </c>
      <c r="C179">
        <v>2020</v>
      </c>
      <c r="D179">
        <f t="shared" si="107"/>
        <v>99.8</v>
      </c>
      <c r="E179">
        <f t="shared" ref="E179" si="156">I176+E180</f>
        <v>0.2</v>
      </c>
    </row>
    <row r="180" spans="1:15" x14ac:dyDescent="0.3">
      <c r="A180" t="s">
        <v>15</v>
      </c>
      <c r="B180">
        <v>4</v>
      </c>
      <c r="C180">
        <v>2020</v>
      </c>
      <c r="D180">
        <f t="shared" si="107"/>
        <v>100</v>
      </c>
      <c r="E180">
        <f t="shared" ref="E180" si="157">J176+E181</f>
        <v>0</v>
      </c>
    </row>
    <row r="181" spans="1:15" x14ac:dyDescent="0.3">
      <c r="A181" t="s">
        <v>15</v>
      </c>
      <c r="B181">
        <v>5</v>
      </c>
      <c r="C181">
        <v>2020</v>
      </c>
      <c r="D181">
        <f t="shared" si="107"/>
        <v>100</v>
      </c>
      <c r="E181">
        <f t="shared" ref="E181" si="158">SUM(K176:O176)</f>
        <v>0</v>
      </c>
    </row>
    <row r="182" spans="1:15" x14ac:dyDescent="0.3">
      <c r="A182" t="s">
        <v>5</v>
      </c>
      <c r="B182">
        <v>0</v>
      </c>
      <c r="C182">
        <v>2020</v>
      </c>
      <c r="D182">
        <f t="shared" si="107"/>
        <v>33.399999999999991</v>
      </c>
      <c r="E182">
        <f t="shared" ref="E182" si="159">F182+E183</f>
        <v>66.600000000000009</v>
      </c>
      <c r="F182">
        <v>31.7</v>
      </c>
      <c r="G182">
        <v>24.6</v>
      </c>
      <c r="H182">
        <v>8</v>
      </c>
      <c r="I182">
        <v>1.9</v>
      </c>
      <c r="J182">
        <v>0.3</v>
      </c>
      <c r="K182">
        <v>0.1</v>
      </c>
      <c r="L182">
        <v>0</v>
      </c>
      <c r="M182">
        <v>0</v>
      </c>
      <c r="N182">
        <v>0</v>
      </c>
      <c r="O182">
        <v>0</v>
      </c>
    </row>
    <row r="183" spans="1:15" x14ac:dyDescent="0.3">
      <c r="A183" t="s">
        <v>5</v>
      </c>
      <c r="B183">
        <v>1</v>
      </c>
      <c r="C183">
        <v>2020</v>
      </c>
      <c r="D183">
        <f t="shared" si="107"/>
        <v>65.099999999999994</v>
      </c>
      <c r="E183">
        <f t="shared" ref="E183" si="160">G182+E184</f>
        <v>34.900000000000006</v>
      </c>
    </row>
    <row r="184" spans="1:15" x14ac:dyDescent="0.3">
      <c r="A184" t="s">
        <v>16</v>
      </c>
      <c r="B184">
        <v>2</v>
      </c>
      <c r="C184">
        <v>2020</v>
      </c>
      <c r="D184">
        <f t="shared" si="107"/>
        <v>89.7</v>
      </c>
      <c r="E184">
        <f t="shared" ref="E184" si="161">H182+E185</f>
        <v>10.3</v>
      </c>
    </row>
    <row r="185" spans="1:15" x14ac:dyDescent="0.3">
      <c r="A185" t="s">
        <v>16</v>
      </c>
      <c r="B185">
        <v>3</v>
      </c>
      <c r="C185">
        <v>2020</v>
      </c>
      <c r="D185">
        <f t="shared" si="107"/>
        <v>97.7</v>
      </c>
      <c r="E185">
        <f t="shared" ref="E185" si="162">I182+E186</f>
        <v>2.2999999999999998</v>
      </c>
    </row>
    <row r="186" spans="1:15" x14ac:dyDescent="0.3">
      <c r="A186" t="s">
        <v>16</v>
      </c>
      <c r="B186">
        <v>4</v>
      </c>
      <c r="C186">
        <v>2020</v>
      </c>
      <c r="D186">
        <f t="shared" si="107"/>
        <v>99.6</v>
      </c>
      <c r="E186">
        <f t="shared" ref="E186" si="163">J182+E187</f>
        <v>0.4</v>
      </c>
    </row>
    <row r="187" spans="1:15" x14ac:dyDescent="0.3">
      <c r="A187" t="s">
        <v>16</v>
      </c>
      <c r="B187">
        <v>5</v>
      </c>
      <c r="C187">
        <v>2020</v>
      </c>
      <c r="D187">
        <f t="shared" si="107"/>
        <v>99.9</v>
      </c>
      <c r="E187">
        <f t="shared" ref="E187" si="164">SUM(K182:O182)</f>
        <v>0.1</v>
      </c>
    </row>
    <row r="188" spans="1:15" x14ac:dyDescent="0.3">
      <c r="A188" t="s">
        <v>6</v>
      </c>
      <c r="B188">
        <v>0</v>
      </c>
      <c r="C188">
        <v>2020</v>
      </c>
      <c r="D188">
        <f t="shared" si="107"/>
        <v>15.900000000000006</v>
      </c>
      <c r="E188">
        <f t="shared" ref="E188" si="165">F188+E189</f>
        <v>84.1</v>
      </c>
      <c r="F188">
        <v>25.8</v>
      </c>
      <c r="G188">
        <v>31.8</v>
      </c>
      <c r="H188">
        <v>17</v>
      </c>
      <c r="I188">
        <v>6.4</v>
      </c>
      <c r="J188">
        <v>2.2999999999999998</v>
      </c>
      <c r="K188">
        <v>0.5</v>
      </c>
      <c r="L188">
        <v>0.2</v>
      </c>
      <c r="M188">
        <v>0.1</v>
      </c>
      <c r="N188">
        <v>0</v>
      </c>
      <c r="O188">
        <v>0</v>
      </c>
    </row>
    <row r="189" spans="1:15" x14ac:dyDescent="0.3">
      <c r="A189" t="s">
        <v>6</v>
      </c>
      <c r="B189">
        <v>1</v>
      </c>
      <c r="C189">
        <v>2020</v>
      </c>
      <c r="D189">
        <f t="shared" si="107"/>
        <v>41.7</v>
      </c>
      <c r="E189">
        <f t="shared" ref="E189" si="166">G188+E190</f>
        <v>58.3</v>
      </c>
    </row>
    <row r="190" spans="1:15" x14ac:dyDescent="0.3">
      <c r="A190" t="s">
        <v>11</v>
      </c>
      <c r="B190">
        <v>2</v>
      </c>
      <c r="C190">
        <v>2020</v>
      </c>
      <c r="D190">
        <f t="shared" si="107"/>
        <v>73.5</v>
      </c>
      <c r="E190">
        <f t="shared" ref="E190" si="167">H188+E191</f>
        <v>26.5</v>
      </c>
    </row>
    <row r="191" spans="1:15" x14ac:dyDescent="0.3">
      <c r="A191" t="s">
        <v>11</v>
      </c>
      <c r="B191">
        <v>3</v>
      </c>
      <c r="C191">
        <v>2020</v>
      </c>
      <c r="D191">
        <f t="shared" si="107"/>
        <v>90.5</v>
      </c>
      <c r="E191">
        <f t="shared" ref="E191" si="168">I188+E192</f>
        <v>9.5</v>
      </c>
    </row>
    <row r="192" spans="1:15" x14ac:dyDescent="0.3">
      <c r="A192" t="s">
        <v>11</v>
      </c>
      <c r="B192">
        <v>4</v>
      </c>
      <c r="C192">
        <v>2020</v>
      </c>
      <c r="D192">
        <f t="shared" si="107"/>
        <v>96.9</v>
      </c>
      <c r="E192">
        <f t="shared" ref="E192" si="169">J188+E193</f>
        <v>3.0999999999999996</v>
      </c>
    </row>
    <row r="193" spans="1:15" x14ac:dyDescent="0.3">
      <c r="A193" t="s">
        <v>11</v>
      </c>
      <c r="B193">
        <v>5</v>
      </c>
      <c r="C193">
        <v>2020</v>
      </c>
      <c r="D193">
        <f t="shared" si="107"/>
        <v>99.2</v>
      </c>
      <c r="E193">
        <f t="shared" ref="E193" si="170">SUM(K188:O188)</f>
        <v>0.79999999999999993</v>
      </c>
    </row>
    <row r="194" spans="1:15" x14ac:dyDescent="0.3">
      <c r="A194" t="s">
        <v>7</v>
      </c>
      <c r="B194">
        <v>0</v>
      </c>
      <c r="C194">
        <v>2020</v>
      </c>
      <c r="D194">
        <f t="shared" si="107"/>
        <v>8.6000000000000085</v>
      </c>
      <c r="E194">
        <f t="shared" ref="E194" si="171">F194+E195</f>
        <v>91.399999999999991</v>
      </c>
      <c r="F194">
        <v>17.8</v>
      </c>
      <c r="G194">
        <v>31.9</v>
      </c>
      <c r="H194">
        <v>22.9</v>
      </c>
      <c r="I194">
        <v>11.9</v>
      </c>
      <c r="J194">
        <v>4.3</v>
      </c>
      <c r="K194">
        <v>1.4</v>
      </c>
      <c r="L194">
        <v>0.7</v>
      </c>
      <c r="M194">
        <v>0.3</v>
      </c>
      <c r="N194">
        <v>0.1</v>
      </c>
      <c r="O194">
        <v>0.1</v>
      </c>
    </row>
    <row r="195" spans="1:15" x14ac:dyDescent="0.3">
      <c r="A195" t="s">
        <v>7</v>
      </c>
      <c r="B195">
        <v>1</v>
      </c>
      <c r="C195">
        <v>2020</v>
      </c>
      <c r="D195">
        <f t="shared" ref="D195:D211" si="172">100-E195</f>
        <v>26.400000000000006</v>
      </c>
      <c r="E195">
        <f t="shared" ref="E195" si="173">G194+E196</f>
        <v>73.599999999999994</v>
      </c>
    </row>
    <row r="196" spans="1:15" x14ac:dyDescent="0.3">
      <c r="A196" t="s">
        <v>12</v>
      </c>
      <c r="B196">
        <v>2</v>
      </c>
      <c r="C196">
        <v>2020</v>
      </c>
      <c r="D196">
        <f t="shared" si="172"/>
        <v>58.3</v>
      </c>
      <c r="E196">
        <f t="shared" ref="E196" si="174">H194+E197</f>
        <v>41.7</v>
      </c>
    </row>
    <row r="197" spans="1:15" x14ac:dyDescent="0.3">
      <c r="A197" t="s">
        <v>12</v>
      </c>
      <c r="B197">
        <v>3</v>
      </c>
      <c r="C197">
        <v>2020</v>
      </c>
      <c r="D197">
        <f t="shared" si="172"/>
        <v>81.2</v>
      </c>
      <c r="E197">
        <f t="shared" ref="E197" si="175">I194+E198</f>
        <v>18.8</v>
      </c>
    </row>
    <row r="198" spans="1:15" x14ac:dyDescent="0.3">
      <c r="A198" t="s">
        <v>12</v>
      </c>
      <c r="B198">
        <v>4</v>
      </c>
      <c r="C198">
        <v>2020</v>
      </c>
      <c r="D198">
        <f t="shared" si="172"/>
        <v>93.1</v>
      </c>
      <c r="E198">
        <f t="shared" ref="E198" si="176">J194+E199</f>
        <v>6.8999999999999995</v>
      </c>
    </row>
    <row r="199" spans="1:15" x14ac:dyDescent="0.3">
      <c r="A199" t="s">
        <v>12</v>
      </c>
      <c r="B199">
        <v>5</v>
      </c>
      <c r="C199">
        <v>2020</v>
      </c>
      <c r="D199">
        <f t="shared" si="172"/>
        <v>97.4</v>
      </c>
      <c r="E199">
        <f t="shared" ref="E199" si="177">SUM(K194:O194)</f>
        <v>2.5999999999999996</v>
      </c>
    </row>
    <row r="200" spans="1:15" x14ac:dyDescent="0.3">
      <c r="A200" t="s">
        <v>8</v>
      </c>
      <c r="B200">
        <v>0</v>
      </c>
      <c r="C200">
        <v>2020</v>
      </c>
      <c r="D200">
        <f t="shared" si="172"/>
        <v>6.3999999999999915</v>
      </c>
      <c r="E200">
        <f t="shared" ref="E200" si="178">F200+E201</f>
        <v>93.600000000000009</v>
      </c>
      <c r="F200">
        <v>13.2</v>
      </c>
      <c r="G200">
        <v>28</v>
      </c>
      <c r="H200">
        <v>26.2</v>
      </c>
      <c r="I200">
        <v>13.1</v>
      </c>
      <c r="J200">
        <v>7.1</v>
      </c>
      <c r="K200">
        <v>3.5</v>
      </c>
      <c r="L200">
        <v>1.4</v>
      </c>
      <c r="M200">
        <v>0.7</v>
      </c>
      <c r="N200">
        <v>0.2</v>
      </c>
      <c r="O200">
        <v>0.2</v>
      </c>
    </row>
    <row r="201" spans="1:15" x14ac:dyDescent="0.3">
      <c r="A201" t="s">
        <v>8</v>
      </c>
      <c r="B201">
        <v>1</v>
      </c>
      <c r="C201">
        <v>2020</v>
      </c>
      <c r="D201">
        <f t="shared" si="172"/>
        <v>19.599999999999994</v>
      </c>
      <c r="E201">
        <f t="shared" ref="E201" si="179">G200+E202</f>
        <v>80.400000000000006</v>
      </c>
    </row>
    <row r="202" spans="1:15" x14ac:dyDescent="0.3">
      <c r="A202" t="s">
        <v>13</v>
      </c>
      <c r="B202">
        <v>2</v>
      </c>
      <c r="C202">
        <v>2020</v>
      </c>
      <c r="D202">
        <f t="shared" si="172"/>
        <v>47.599999999999994</v>
      </c>
      <c r="E202">
        <f t="shared" ref="E202" si="180">H200+E203</f>
        <v>52.400000000000006</v>
      </c>
    </row>
    <row r="203" spans="1:15" x14ac:dyDescent="0.3">
      <c r="A203" t="s">
        <v>13</v>
      </c>
      <c r="B203">
        <v>3</v>
      </c>
      <c r="C203">
        <v>2020</v>
      </c>
      <c r="D203">
        <f t="shared" si="172"/>
        <v>73.8</v>
      </c>
      <c r="E203">
        <f t="shared" ref="E203" si="181">I200+E204</f>
        <v>26.200000000000003</v>
      </c>
    </row>
    <row r="204" spans="1:15" x14ac:dyDescent="0.3">
      <c r="A204" t="s">
        <v>13</v>
      </c>
      <c r="B204">
        <v>4</v>
      </c>
      <c r="C204">
        <v>2020</v>
      </c>
      <c r="D204">
        <f t="shared" si="172"/>
        <v>86.9</v>
      </c>
      <c r="E204">
        <f t="shared" ref="E204" si="182">J200+E205</f>
        <v>13.100000000000001</v>
      </c>
    </row>
    <row r="205" spans="1:15" x14ac:dyDescent="0.3">
      <c r="A205" t="s">
        <v>13</v>
      </c>
      <c r="B205">
        <v>5</v>
      </c>
      <c r="C205">
        <v>2020</v>
      </c>
      <c r="D205">
        <f t="shared" si="172"/>
        <v>94</v>
      </c>
      <c r="E205">
        <f t="shared" ref="E205" si="183">SUM(K200:O200)</f>
        <v>6.0000000000000009</v>
      </c>
    </row>
    <row r="206" spans="1:15" x14ac:dyDescent="0.3">
      <c r="A206" t="s">
        <v>9</v>
      </c>
      <c r="B206">
        <v>0</v>
      </c>
      <c r="C206">
        <v>2020</v>
      </c>
      <c r="D206">
        <f t="shared" si="172"/>
        <v>5.8999999999999915</v>
      </c>
      <c r="E206">
        <f t="shared" ref="E206" si="184">F206+E207</f>
        <v>94.100000000000009</v>
      </c>
      <c r="F206">
        <v>12.7</v>
      </c>
      <c r="G206">
        <v>28.8</v>
      </c>
      <c r="H206">
        <v>22.1</v>
      </c>
      <c r="I206">
        <v>13.3</v>
      </c>
      <c r="J206">
        <v>7.2</v>
      </c>
      <c r="K206">
        <v>4.3</v>
      </c>
      <c r="L206">
        <v>3</v>
      </c>
      <c r="M206">
        <v>1.5</v>
      </c>
      <c r="N206">
        <v>0.8</v>
      </c>
      <c r="O206">
        <v>0.4</v>
      </c>
    </row>
    <row r="207" spans="1:15" x14ac:dyDescent="0.3">
      <c r="A207" t="s">
        <v>9</v>
      </c>
      <c r="B207">
        <v>1</v>
      </c>
      <c r="C207">
        <v>2020</v>
      </c>
      <c r="D207">
        <f t="shared" si="172"/>
        <v>18.599999999999994</v>
      </c>
      <c r="E207">
        <f t="shared" ref="E207" si="185">G206+E208</f>
        <v>81.400000000000006</v>
      </c>
    </row>
    <row r="208" spans="1:15" x14ac:dyDescent="0.3">
      <c r="A208" t="s">
        <v>14</v>
      </c>
      <c r="B208">
        <v>2</v>
      </c>
      <c r="C208">
        <v>2020</v>
      </c>
      <c r="D208">
        <f t="shared" si="172"/>
        <v>47.399999999999991</v>
      </c>
      <c r="E208">
        <f t="shared" ref="E208" si="186">H206+E209</f>
        <v>52.600000000000009</v>
      </c>
    </row>
    <row r="209" spans="1:5" x14ac:dyDescent="0.3">
      <c r="A209" t="s">
        <v>14</v>
      </c>
      <c r="B209">
        <v>3</v>
      </c>
      <c r="C209">
        <v>2020</v>
      </c>
      <c r="D209">
        <f t="shared" si="172"/>
        <v>69.5</v>
      </c>
      <c r="E209">
        <f t="shared" ref="E209" si="187">I206+E210</f>
        <v>30.500000000000004</v>
      </c>
    </row>
    <row r="210" spans="1:5" x14ac:dyDescent="0.3">
      <c r="A210" t="s">
        <v>14</v>
      </c>
      <c r="B210">
        <v>4</v>
      </c>
      <c r="C210">
        <v>2020</v>
      </c>
      <c r="D210">
        <f t="shared" si="172"/>
        <v>82.8</v>
      </c>
      <c r="E210">
        <f t="shared" ref="E210" si="188">J206+E211</f>
        <v>17.200000000000003</v>
      </c>
    </row>
    <row r="211" spans="1:5" x14ac:dyDescent="0.3">
      <c r="A211" t="s">
        <v>14</v>
      </c>
      <c r="B211">
        <v>5</v>
      </c>
      <c r="C211">
        <v>2020</v>
      </c>
      <c r="D211">
        <f t="shared" si="172"/>
        <v>90</v>
      </c>
      <c r="E211">
        <f t="shared" ref="E211" si="189">SUM(K206:O206)</f>
        <v>10.000000000000002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1"/>
  <sheetViews>
    <sheetView tabSelected="1" workbookViewId="0">
      <selection activeCell="B1" sqref="B1"/>
    </sheetView>
  </sheetViews>
  <sheetFormatPr defaultRowHeight="14.4" x14ac:dyDescent="0.3"/>
  <cols>
    <col min="1" max="1" width="8.88671875" style="1"/>
    <col min="3" max="3" width="9" customWidth="1"/>
  </cols>
  <sheetData>
    <row r="1" spans="1:4" x14ac:dyDescent="0.3">
      <c r="A1" s="1" t="s">
        <v>0</v>
      </c>
      <c r="B1" t="s">
        <v>10</v>
      </c>
      <c r="C1" t="s">
        <v>1</v>
      </c>
      <c r="D1" s="1" t="s">
        <v>18</v>
      </c>
    </row>
    <row r="2" spans="1:4" x14ac:dyDescent="0.3">
      <c r="A2" s="1" t="s">
        <v>3</v>
      </c>
      <c r="B2">
        <v>0</v>
      </c>
      <c r="C2">
        <v>2015</v>
      </c>
      <c r="D2">
        <v>10.6</v>
      </c>
    </row>
    <row r="3" spans="1:4" x14ac:dyDescent="0.3">
      <c r="A3" s="1" t="s">
        <v>3</v>
      </c>
      <c r="B3">
        <v>1</v>
      </c>
      <c r="C3">
        <v>2015</v>
      </c>
      <c r="D3">
        <v>1.1000000000000001</v>
      </c>
    </row>
    <row r="4" spans="1:4" x14ac:dyDescent="0.3">
      <c r="A4" s="1" t="s">
        <v>17</v>
      </c>
      <c r="B4">
        <v>2</v>
      </c>
      <c r="C4">
        <v>2015</v>
      </c>
      <c r="D4">
        <v>0</v>
      </c>
    </row>
    <row r="5" spans="1:4" x14ac:dyDescent="0.3">
      <c r="A5" s="1" t="s">
        <v>17</v>
      </c>
      <c r="B5">
        <v>3</v>
      </c>
      <c r="C5">
        <v>2015</v>
      </c>
      <c r="D5">
        <v>0</v>
      </c>
    </row>
    <row r="6" spans="1:4" x14ac:dyDescent="0.3">
      <c r="A6" s="1" t="s">
        <v>17</v>
      </c>
      <c r="B6">
        <v>4</v>
      </c>
      <c r="C6">
        <v>2015</v>
      </c>
      <c r="D6">
        <v>0</v>
      </c>
    </row>
    <row r="7" spans="1:4" x14ac:dyDescent="0.3">
      <c r="A7" s="1" t="s">
        <v>17</v>
      </c>
      <c r="B7">
        <v>5</v>
      </c>
      <c r="C7">
        <v>2015</v>
      </c>
      <c r="D7">
        <v>0</v>
      </c>
    </row>
    <row r="8" spans="1:4" x14ac:dyDescent="0.3">
      <c r="A8" s="1" t="s">
        <v>4</v>
      </c>
      <c r="B8">
        <v>0</v>
      </c>
      <c r="C8">
        <v>2015</v>
      </c>
      <c r="D8">
        <v>47</v>
      </c>
    </row>
    <row r="9" spans="1:4" x14ac:dyDescent="0.3">
      <c r="A9" s="1" t="s">
        <v>4</v>
      </c>
      <c r="B9">
        <v>1</v>
      </c>
      <c r="C9">
        <v>2015</v>
      </c>
      <c r="D9">
        <v>14.7</v>
      </c>
    </row>
    <row r="10" spans="1:4" x14ac:dyDescent="0.3">
      <c r="A10" s="1" t="s">
        <v>4</v>
      </c>
      <c r="B10">
        <v>2</v>
      </c>
      <c r="C10">
        <v>2015</v>
      </c>
      <c r="D10">
        <v>3</v>
      </c>
    </row>
    <row r="11" spans="1:4" x14ac:dyDescent="0.3">
      <c r="A11" s="1" t="s">
        <v>4</v>
      </c>
      <c r="B11">
        <v>3</v>
      </c>
      <c r="C11">
        <v>2015</v>
      </c>
      <c r="D11">
        <v>0.4</v>
      </c>
    </row>
    <row r="12" spans="1:4" x14ac:dyDescent="0.3">
      <c r="A12" s="1" t="s">
        <v>15</v>
      </c>
      <c r="B12">
        <v>4</v>
      </c>
      <c r="C12">
        <v>2015</v>
      </c>
      <c r="D12">
        <v>0</v>
      </c>
    </row>
    <row r="13" spans="1:4" x14ac:dyDescent="0.3">
      <c r="A13" s="1" t="s">
        <v>15</v>
      </c>
      <c r="B13">
        <v>5</v>
      </c>
      <c r="C13">
        <v>2015</v>
      </c>
      <c r="D13">
        <v>0</v>
      </c>
    </row>
    <row r="14" spans="1:4" x14ac:dyDescent="0.3">
      <c r="A14" s="1" t="s">
        <v>5</v>
      </c>
      <c r="B14">
        <v>0</v>
      </c>
      <c r="C14">
        <v>2015</v>
      </c>
      <c r="D14">
        <v>73.7</v>
      </c>
    </row>
    <row r="15" spans="1:4" x14ac:dyDescent="0.3">
      <c r="A15" s="1" t="s">
        <v>5</v>
      </c>
      <c r="B15">
        <v>1</v>
      </c>
      <c r="C15">
        <v>2015</v>
      </c>
      <c r="D15">
        <v>40.900000000000006</v>
      </c>
    </row>
    <row r="16" spans="1:4" x14ac:dyDescent="0.3">
      <c r="A16" s="1" t="s">
        <v>5</v>
      </c>
      <c r="B16">
        <v>2</v>
      </c>
      <c r="C16">
        <v>2015</v>
      </c>
      <c r="D16">
        <v>14.3</v>
      </c>
    </row>
    <row r="17" spans="1:4" x14ac:dyDescent="0.3">
      <c r="A17" s="1" t="s">
        <v>5</v>
      </c>
      <c r="B17">
        <v>3</v>
      </c>
      <c r="C17">
        <v>2015</v>
      </c>
      <c r="D17">
        <v>4.2</v>
      </c>
    </row>
    <row r="18" spans="1:4" x14ac:dyDescent="0.3">
      <c r="A18" s="1" t="s">
        <v>5</v>
      </c>
      <c r="B18">
        <v>4</v>
      </c>
      <c r="C18">
        <v>2015</v>
      </c>
      <c r="D18">
        <v>1.1000000000000001</v>
      </c>
    </row>
    <row r="19" spans="1:4" x14ac:dyDescent="0.3">
      <c r="A19" s="1" t="s">
        <v>5</v>
      </c>
      <c r="B19">
        <v>5</v>
      </c>
      <c r="C19">
        <v>2015</v>
      </c>
      <c r="D19">
        <v>0.2</v>
      </c>
    </row>
    <row r="20" spans="1:4" x14ac:dyDescent="0.3">
      <c r="A20" s="1" t="s">
        <v>6</v>
      </c>
      <c r="B20">
        <v>0</v>
      </c>
      <c r="C20">
        <v>2015</v>
      </c>
      <c r="D20">
        <v>87</v>
      </c>
    </row>
    <row r="21" spans="1:4" x14ac:dyDescent="0.3">
      <c r="A21" s="1" t="s">
        <v>6</v>
      </c>
      <c r="B21">
        <v>1</v>
      </c>
      <c r="C21">
        <v>2015</v>
      </c>
      <c r="D21">
        <v>62.599999999999994</v>
      </c>
    </row>
    <row r="22" spans="1:4" x14ac:dyDescent="0.3">
      <c r="A22" s="1" t="s">
        <v>6</v>
      </c>
      <c r="B22">
        <v>2</v>
      </c>
      <c r="C22">
        <v>2015</v>
      </c>
      <c r="D22">
        <v>31.299999999999997</v>
      </c>
    </row>
    <row r="23" spans="1:4" x14ac:dyDescent="0.3">
      <c r="A23" s="1" t="s">
        <v>6</v>
      </c>
      <c r="B23">
        <v>3</v>
      </c>
      <c r="C23">
        <v>2015</v>
      </c>
      <c r="D23">
        <v>12.899999999999999</v>
      </c>
    </row>
    <row r="24" spans="1:4" x14ac:dyDescent="0.3">
      <c r="A24" s="1" t="s">
        <v>6</v>
      </c>
      <c r="B24">
        <v>4</v>
      </c>
      <c r="C24">
        <v>2015</v>
      </c>
      <c r="D24">
        <v>5.0999999999999996</v>
      </c>
    </row>
    <row r="25" spans="1:4" x14ac:dyDescent="0.3">
      <c r="A25" s="1" t="s">
        <v>6</v>
      </c>
      <c r="B25">
        <v>5</v>
      </c>
      <c r="C25">
        <v>2015</v>
      </c>
      <c r="D25">
        <v>2</v>
      </c>
    </row>
    <row r="26" spans="1:4" x14ac:dyDescent="0.3">
      <c r="A26" s="1" t="s">
        <v>7</v>
      </c>
      <c r="B26">
        <v>0</v>
      </c>
      <c r="C26">
        <v>2015</v>
      </c>
      <c r="D26">
        <v>90.8</v>
      </c>
    </row>
    <row r="27" spans="1:4" x14ac:dyDescent="0.3">
      <c r="A27" s="1" t="s">
        <v>7</v>
      </c>
      <c r="B27">
        <v>1</v>
      </c>
      <c r="C27">
        <v>2015</v>
      </c>
      <c r="D27">
        <v>74.8</v>
      </c>
    </row>
    <row r="28" spans="1:4" x14ac:dyDescent="0.3">
      <c r="A28" s="1" t="s">
        <v>7</v>
      </c>
      <c r="B28">
        <v>2</v>
      </c>
      <c r="C28">
        <v>2015</v>
      </c>
      <c r="D28">
        <v>44</v>
      </c>
    </row>
    <row r="29" spans="1:4" x14ac:dyDescent="0.3">
      <c r="A29" s="1" t="s">
        <v>7</v>
      </c>
      <c r="B29">
        <v>3</v>
      </c>
      <c r="C29">
        <v>2015</v>
      </c>
      <c r="D29">
        <v>22.8</v>
      </c>
    </row>
    <row r="30" spans="1:4" x14ac:dyDescent="0.3">
      <c r="A30" s="1" t="s">
        <v>7</v>
      </c>
      <c r="B30">
        <v>4</v>
      </c>
      <c r="C30">
        <v>2015</v>
      </c>
      <c r="D30">
        <v>11.5</v>
      </c>
    </row>
    <row r="31" spans="1:4" x14ac:dyDescent="0.3">
      <c r="A31" s="1" t="s">
        <v>7</v>
      </c>
      <c r="B31">
        <v>5</v>
      </c>
      <c r="C31">
        <v>2015</v>
      </c>
      <c r="D31">
        <v>5.4999999999999991</v>
      </c>
    </row>
    <row r="32" spans="1:4" x14ac:dyDescent="0.3">
      <c r="A32" s="1" t="s">
        <v>8</v>
      </c>
      <c r="B32">
        <v>0</v>
      </c>
      <c r="C32">
        <v>2015</v>
      </c>
      <c r="D32">
        <v>92.8</v>
      </c>
    </row>
    <row r="33" spans="1:4" x14ac:dyDescent="0.3">
      <c r="A33" s="1" t="s">
        <v>8</v>
      </c>
      <c r="B33">
        <v>1</v>
      </c>
      <c r="C33">
        <v>2015</v>
      </c>
      <c r="D33">
        <v>81.099999999999994</v>
      </c>
    </row>
    <row r="34" spans="1:4" x14ac:dyDescent="0.3">
      <c r="A34" s="1" t="s">
        <v>8</v>
      </c>
      <c r="B34">
        <v>2</v>
      </c>
      <c r="C34">
        <v>2015</v>
      </c>
      <c r="D34">
        <v>54.4</v>
      </c>
    </row>
    <row r="35" spans="1:4" x14ac:dyDescent="0.3">
      <c r="A35" s="1" t="s">
        <v>8</v>
      </c>
      <c r="B35">
        <v>3</v>
      </c>
      <c r="C35">
        <v>2015</v>
      </c>
      <c r="D35">
        <v>32.299999999999997</v>
      </c>
    </row>
    <row r="36" spans="1:4" x14ac:dyDescent="0.3">
      <c r="A36" s="1" t="s">
        <v>8</v>
      </c>
      <c r="B36">
        <v>4</v>
      </c>
      <c r="C36">
        <v>2015</v>
      </c>
      <c r="D36">
        <v>18.399999999999999</v>
      </c>
    </row>
    <row r="37" spans="1:4" x14ac:dyDescent="0.3">
      <c r="A37" s="1" t="s">
        <v>8</v>
      </c>
      <c r="B37">
        <v>5</v>
      </c>
      <c r="C37">
        <v>2015</v>
      </c>
      <c r="D37">
        <v>9.8000000000000007</v>
      </c>
    </row>
    <row r="38" spans="1:4" x14ac:dyDescent="0.3">
      <c r="A38" s="1" t="s">
        <v>9</v>
      </c>
      <c r="B38">
        <v>0</v>
      </c>
      <c r="C38">
        <v>2015</v>
      </c>
      <c r="D38">
        <v>93.6</v>
      </c>
    </row>
    <row r="39" spans="1:4" x14ac:dyDescent="0.3">
      <c r="A39" s="1" t="s">
        <v>9</v>
      </c>
      <c r="B39">
        <v>1</v>
      </c>
      <c r="C39">
        <v>2015</v>
      </c>
      <c r="D39">
        <v>83.5</v>
      </c>
    </row>
    <row r="40" spans="1:4" x14ac:dyDescent="0.3">
      <c r="A40" s="1" t="s">
        <v>9</v>
      </c>
      <c r="B40">
        <v>2</v>
      </c>
      <c r="C40">
        <v>2015</v>
      </c>
      <c r="D40">
        <v>60.900000000000006</v>
      </c>
    </row>
    <row r="41" spans="1:4" x14ac:dyDescent="0.3">
      <c r="A41" s="1" t="s">
        <v>9</v>
      </c>
      <c r="B41">
        <v>3</v>
      </c>
      <c r="C41">
        <v>2015</v>
      </c>
      <c r="D41">
        <v>40.300000000000004</v>
      </c>
    </row>
    <row r="42" spans="1:4" x14ac:dyDescent="0.3">
      <c r="A42" s="1" t="s">
        <v>9</v>
      </c>
      <c r="B42">
        <v>4</v>
      </c>
      <c r="C42">
        <v>2015</v>
      </c>
      <c r="D42">
        <v>25.200000000000003</v>
      </c>
    </row>
    <row r="43" spans="1:4" x14ac:dyDescent="0.3">
      <c r="A43" s="1" t="s">
        <v>9</v>
      </c>
      <c r="B43">
        <v>5</v>
      </c>
      <c r="C43">
        <v>2015</v>
      </c>
      <c r="D43">
        <v>15.500000000000002</v>
      </c>
    </row>
    <row r="44" spans="1:4" x14ac:dyDescent="0.3">
      <c r="A44" s="1" t="s">
        <v>3</v>
      </c>
      <c r="B44">
        <v>0</v>
      </c>
      <c r="C44">
        <v>2016</v>
      </c>
      <c r="D44">
        <v>10.100000000000001</v>
      </c>
    </row>
    <row r="45" spans="1:4" x14ac:dyDescent="0.3">
      <c r="A45" s="1" t="s">
        <v>3</v>
      </c>
      <c r="B45">
        <v>1</v>
      </c>
      <c r="C45">
        <v>2016</v>
      </c>
      <c r="D45">
        <v>1.2000000000000002</v>
      </c>
    </row>
    <row r="46" spans="1:4" x14ac:dyDescent="0.3">
      <c r="A46" s="1" t="s">
        <v>3</v>
      </c>
      <c r="B46">
        <v>2</v>
      </c>
      <c r="C46">
        <v>2016</v>
      </c>
      <c r="D46">
        <v>0.1</v>
      </c>
    </row>
    <row r="47" spans="1:4" x14ac:dyDescent="0.3">
      <c r="A47" s="1" t="s">
        <v>17</v>
      </c>
      <c r="B47">
        <v>3</v>
      </c>
      <c r="C47">
        <v>2016</v>
      </c>
      <c r="D47">
        <v>0</v>
      </c>
    </row>
    <row r="48" spans="1:4" x14ac:dyDescent="0.3">
      <c r="A48" s="1" t="s">
        <v>17</v>
      </c>
      <c r="B48">
        <v>4</v>
      </c>
      <c r="C48">
        <v>2016</v>
      </c>
      <c r="D48">
        <v>0</v>
      </c>
    </row>
    <row r="49" spans="1:4" x14ac:dyDescent="0.3">
      <c r="A49" s="1" t="s">
        <v>17</v>
      </c>
      <c r="B49">
        <v>5</v>
      </c>
      <c r="C49">
        <v>2016</v>
      </c>
      <c r="D49">
        <v>0</v>
      </c>
    </row>
    <row r="50" spans="1:4" x14ac:dyDescent="0.3">
      <c r="A50" s="1" t="s">
        <v>4</v>
      </c>
      <c r="B50">
        <v>0</v>
      </c>
      <c r="C50">
        <v>2016</v>
      </c>
      <c r="D50">
        <v>45.8</v>
      </c>
    </row>
    <row r="51" spans="1:4" x14ac:dyDescent="0.3">
      <c r="A51" s="1" t="s">
        <v>4</v>
      </c>
      <c r="B51">
        <v>1</v>
      </c>
      <c r="C51">
        <v>2016</v>
      </c>
      <c r="D51">
        <v>14.9</v>
      </c>
    </row>
    <row r="52" spans="1:4" x14ac:dyDescent="0.3">
      <c r="A52" s="1" t="s">
        <v>4</v>
      </c>
      <c r="B52">
        <v>2</v>
      </c>
      <c r="C52">
        <v>2016</v>
      </c>
      <c r="D52">
        <v>3.1</v>
      </c>
    </row>
    <row r="53" spans="1:4" x14ac:dyDescent="0.3">
      <c r="A53" s="1" t="s">
        <v>4</v>
      </c>
      <c r="B53">
        <v>3</v>
      </c>
      <c r="C53">
        <v>2016</v>
      </c>
      <c r="D53">
        <v>0.5</v>
      </c>
    </row>
    <row r="54" spans="1:4" x14ac:dyDescent="0.3">
      <c r="A54" s="1" t="s">
        <v>4</v>
      </c>
      <c r="B54">
        <v>4</v>
      </c>
      <c r="C54">
        <v>2016</v>
      </c>
      <c r="D54">
        <v>0.1</v>
      </c>
    </row>
    <row r="55" spans="1:4" x14ac:dyDescent="0.3">
      <c r="A55" s="1" t="s">
        <v>15</v>
      </c>
      <c r="B55">
        <v>5</v>
      </c>
      <c r="C55">
        <v>2016</v>
      </c>
      <c r="D55">
        <v>0</v>
      </c>
    </row>
    <row r="56" spans="1:4" x14ac:dyDescent="0.3">
      <c r="A56" s="1" t="s">
        <v>5</v>
      </c>
      <c r="B56">
        <v>0</v>
      </c>
      <c r="C56">
        <v>2016</v>
      </c>
      <c r="D56">
        <v>74.199999999999989</v>
      </c>
    </row>
    <row r="57" spans="1:4" x14ac:dyDescent="0.3">
      <c r="A57" s="1" t="s">
        <v>5</v>
      </c>
      <c r="B57">
        <v>1</v>
      </c>
      <c r="C57">
        <v>2016</v>
      </c>
      <c r="D57">
        <v>41.8</v>
      </c>
    </row>
    <row r="58" spans="1:4" x14ac:dyDescent="0.3">
      <c r="A58" s="1" t="s">
        <v>5</v>
      </c>
      <c r="B58">
        <v>2</v>
      </c>
      <c r="C58">
        <v>2016</v>
      </c>
      <c r="D58">
        <v>14.5</v>
      </c>
    </row>
    <row r="59" spans="1:4" x14ac:dyDescent="0.3">
      <c r="A59" s="1" t="s">
        <v>5</v>
      </c>
      <c r="B59">
        <v>3</v>
      </c>
      <c r="C59">
        <v>2016</v>
      </c>
      <c r="D59">
        <v>4</v>
      </c>
    </row>
    <row r="60" spans="1:4" x14ac:dyDescent="0.3">
      <c r="A60" s="1" t="s">
        <v>5</v>
      </c>
      <c r="B60">
        <v>4</v>
      </c>
      <c r="C60">
        <v>2016</v>
      </c>
      <c r="D60">
        <v>1.1000000000000001</v>
      </c>
    </row>
    <row r="61" spans="1:4" x14ac:dyDescent="0.3">
      <c r="A61" s="1" t="s">
        <v>5</v>
      </c>
      <c r="B61">
        <v>5</v>
      </c>
      <c r="C61">
        <v>2016</v>
      </c>
      <c r="D61">
        <v>0.3</v>
      </c>
    </row>
    <row r="62" spans="1:4" x14ac:dyDescent="0.3">
      <c r="A62" s="1" t="s">
        <v>6</v>
      </c>
      <c r="B62">
        <v>0</v>
      </c>
      <c r="C62">
        <v>2016</v>
      </c>
      <c r="D62">
        <v>86.5</v>
      </c>
    </row>
    <row r="63" spans="1:4" x14ac:dyDescent="0.3">
      <c r="A63" s="1" t="s">
        <v>6</v>
      </c>
      <c r="B63">
        <v>1</v>
      </c>
      <c r="C63">
        <v>2016</v>
      </c>
      <c r="D63">
        <v>61.6</v>
      </c>
    </row>
    <row r="64" spans="1:4" x14ac:dyDescent="0.3">
      <c r="A64" s="1" t="s">
        <v>11</v>
      </c>
      <c r="B64">
        <v>2</v>
      </c>
      <c r="C64">
        <v>2016</v>
      </c>
      <c r="D64">
        <v>29.6</v>
      </c>
    </row>
    <row r="65" spans="1:4" x14ac:dyDescent="0.3">
      <c r="A65" s="1" t="s">
        <v>11</v>
      </c>
      <c r="B65">
        <v>3</v>
      </c>
      <c r="C65">
        <v>2016</v>
      </c>
      <c r="D65">
        <v>12.1</v>
      </c>
    </row>
    <row r="66" spans="1:4" x14ac:dyDescent="0.3">
      <c r="A66" s="1" t="s">
        <v>11</v>
      </c>
      <c r="B66">
        <v>4</v>
      </c>
      <c r="C66">
        <v>2016</v>
      </c>
      <c r="D66">
        <v>4.5999999999999996</v>
      </c>
    </row>
    <row r="67" spans="1:4" x14ac:dyDescent="0.3">
      <c r="A67" s="1" t="s">
        <v>11</v>
      </c>
      <c r="B67">
        <v>5</v>
      </c>
      <c r="C67">
        <v>2016</v>
      </c>
      <c r="D67">
        <v>1.8000000000000003</v>
      </c>
    </row>
    <row r="68" spans="1:4" x14ac:dyDescent="0.3">
      <c r="A68" s="1" t="s">
        <v>7</v>
      </c>
      <c r="B68">
        <v>0</v>
      </c>
      <c r="C68">
        <v>2016</v>
      </c>
      <c r="D68">
        <v>90.100000000000009</v>
      </c>
    </row>
    <row r="69" spans="1:4" x14ac:dyDescent="0.3">
      <c r="A69" s="1" t="s">
        <v>7</v>
      </c>
      <c r="B69">
        <v>1</v>
      </c>
      <c r="C69">
        <v>2016</v>
      </c>
      <c r="D69">
        <v>73.900000000000006</v>
      </c>
    </row>
    <row r="70" spans="1:4" x14ac:dyDescent="0.3">
      <c r="A70" s="1" t="s">
        <v>12</v>
      </c>
      <c r="B70">
        <v>2</v>
      </c>
      <c r="C70">
        <v>2016</v>
      </c>
      <c r="D70">
        <v>43.400000000000006</v>
      </c>
    </row>
    <row r="71" spans="1:4" x14ac:dyDescent="0.3">
      <c r="A71" s="1" t="s">
        <v>12</v>
      </c>
      <c r="B71">
        <v>3</v>
      </c>
      <c r="C71">
        <v>2016</v>
      </c>
      <c r="D71">
        <v>21.700000000000003</v>
      </c>
    </row>
    <row r="72" spans="1:4" x14ac:dyDescent="0.3">
      <c r="A72" s="1" t="s">
        <v>12</v>
      </c>
      <c r="B72">
        <v>4</v>
      </c>
      <c r="C72">
        <v>2016</v>
      </c>
      <c r="D72">
        <v>10.3</v>
      </c>
    </row>
    <row r="73" spans="1:4" x14ac:dyDescent="0.3">
      <c r="A73" s="1" t="s">
        <v>12</v>
      </c>
      <c r="B73">
        <v>5</v>
      </c>
      <c r="C73">
        <v>2016</v>
      </c>
      <c r="D73">
        <v>4.8</v>
      </c>
    </row>
    <row r="74" spans="1:4" x14ac:dyDescent="0.3">
      <c r="A74" s="1" t="s">
        <v>8</v>
      </c>
      <c r="B74">
        <v>0</v>
      </c>
      <c r="C74">
        <v>2016</v>
      </c>
      <c r="D74">
        <v>93</v>
      </c>
    </row>
    <row r="75" spans="1:4" x14ac:dyDescent="0.3">
      <c r="A75" s="1" t="s">
        <v>8</v>
      </c>
      <c r="B75">
        <v>1</v>
      </c>
      <c r="C75">
        <v>2016</v>
      </c>
      <c r="D75">
        <v>81.900000000000006</v>
      </c>
    </row>
    <row r="76" spans="1:4" x14ac:dyDescent="0.3">
      <c r="A76" s="1" t="s">
        <v>13</v>
      </c>
      <c r="B76">
        <v>2</v>
      </c>
      <c r="C76">
        <v>2016</v>
      </c>
      <c r="D76">
        <v>55</v>
      </c>
    </row>
    <row r="77" spans="1:4" x14ac:dyDescent="0.3">
      <c r="A77" s="1" t="s">
        <v>13</v>
      </c>
      <c r="B77">
        <v>3</v>
      </c>
      <c r="C77">
        <v>2016</v>
      </c>
      <c r="D77">
        <v>31.4</v>
      </c>
    </row>
    <row r="78" spans="1:4" x14ac:dyDescent="0.3">
      <c r="A78" s="1" t="s">
        <v>13</v>
      </c>
      <c r="B78">
        <v>4</v>
      </c>
      <c r="C78">
        <v>2016</v>
      </c>
      <c r="D78">
        <v>17.399999999999999</v>
      </c>
    </row>
    <row r="79" spans="1:4" x14ac:dyDescent="0.3">
      <c r="A79" s="1" t="s">
        <v>13</v>
      </c>
      <c r="B79">
        <v>5</v>
      </c>
      <c r="C79">
        <v>2016</v>
      </c>
      <c r="D79">
        <v>9.9</v>
      </c>
    </row>
    <row r="80" spans="1:4" x14ac:dyDescent="0.3">
      <c r="A80" s="1" t="s">
        <v>9</v>
      </c>
      <c r="B80">
        <v>0</v>
      </c>
      <c r="C80">
        <v>2016</v>
      </c>
      <c r="D80">
        <v>93.3</v>
      </c>
    </row>
    <row r="81" spans="1:4" x14ac:dyDescent="0.3">
      <c r="A81" s="1" t="s">
        <v>9</v>
      </c>
      <c r="B81">
        <v>1</v>
      </c>
      <c r="C81">
        <v>2016</v>
      </c>
      <c r="D81">
        <v>83.6</v>
      </c>
    </row>
    <row r="82" spans="1:4" x14ac:dyDescent="0.3">
      <c r="A82" s="1" t="s">
        <v>14</v>
      </c>
      <c r="B82">
        <v>2</v>
      </c>
      <c r="C82">
        <v>2016</v>
      </c>
      <c r="D82">
        <v>61.6</v>
      </c>
    </row>
    <row r="83" spans="1:4" x14ac:dyDescent="0.3">
      <c r="A83" s="1" t="s">
        <v>14</v>
      </c>
      <c r="B83">
        <v>3</v>
      </c>
      <c r="C83">
        <v>2016</v>
      </c>
      <c r="D83">
        <v>39.700000000000003</v>
      </c>
    </row>
    <row r="84" spans="1:4" x14ac:dyDescent="0.3">
      <c r="A84" s="1" t="s">
        <v>14</v>
      </c>
      <c r="B84">
        <v>4</v>
      </c>
      <c r="C84">
        <v>2016</v>
      </c>
      <c r="D84">
        <v>24.3</v>
      </c>
    </row>
    <row r="85" spans="1:4" x14ac:dyDescent="0.3">
      <c r="A85" s="1" t="s">
        <v>14</v>
      </c>
      <c r="B85">
        <v>5</v>
      </c>
      <c r="C85">
        <v>2016</v>
      </c>
      <c r="D85">
        <v>14.8</v>
      </c>
    </row>
    <row r="86" spans="1:4" x14ac:dyDescent="0.3">
      <c r="A86" s="1" t="s">
        <v>3</v>
      </c>
      <c r="B86">
        <v>0</v>
      </c>
      <c r="C86">
        <v>2017</v>
      </c>
      <c r="D86">
        <v>10.6</v>
      </c>
    </row>
    <row r="87" spans="1:4" x14ac:dyDescent="0.3">
      <c r="A87" s="1" t="s">
        <v>3</v>
      </c>
      <c r="B87">
        <v>1</v>
      </c>
      <c r="C87">
        <v>2017</v>
      </c>
      <c r="D87">
        <v>1</v>
      </c>
    </row>
    <row r="88" spans="1:4" x14ac:dyDescent="0.3">
      <c r="A88" s="1" t="s">
        <v>17</v>
      </c>
      <c r="B88">
        <v>2</v>
      </c>
      <c r="C88">
        <v>2017</v>
      </c>
      <c r="D88">
        <v>0</v>
      </c>
    </row>
    <row r="89" spans="1:4" x14ac:dyDescent="0.3">
      <c r="A89" s="1" t="s">
        <v>17</v>
      </c>
      <c r="B89">
        <v>3</v>
      </c>
      <c r="C89">
        <v>2017</v>
      </c>
      <c r="D89">
        <v>0</v>
      </c>
    </row>
    <row r="90" spans="1:4" x14ac:dyDescent="0.3">
      <c r="A90" s="1" t="s">
        <v>17</v>
      </c>
      <c r="B90">
        <v>4</v>
      </c>
      <c r="C90">
        <v>2017</v>
      </c>
      <c r="D90">
        <v>0</v>
      </c>
    </row>
    <row r="91" spans="1:4" x14ac:dyDescent="0.3">
      <c r="A91" s="1" t="s">
        <v>17</v>
      </c>
      <c r="B91">
        <v>5</v>
      </c>
      <c r="C91">
        <v>2017</v>
      </c>
      <c r="D91">
        <v>0</v>
      </c>
    </row>
    <row r="92" spans="1:4" x14ac:dyDescent="0.3">
      <c r="A92" s="1" t="s">
        <v>4</v>
      </c>
      <c r="B92">
        <v>0</v>
      </c>
      <c r="C92">
        <v>2017</v>
      </c>
      <c r="D92">
        <v>45.2</v>
      </c>
    </row>
    <row r="93" spans="1:4" x14ac:dyDescent="0.3">
      <c r="A93" s="1" t="s">
        <v>4</v>
      </c>
      <c r="B93">
        <v>1</v>
      </c>
      <c r="C93">
        <v>2017</v>
      </c>
      <c r="D93">
        <v>14.4</v>
      </c>
    </row>
    <row r="94" spans="1:4" x14ac:dyDescent="0.3">
      <c r="A94" s="1" t="s">
        <v>15</v>
      </c>
      <c r="B94">
        <v>2</v>
      </c>
      <c r="C94">
        <v>2017</v>
      </c>
      <c r="D94">
        <v>2.9</v>
      </c>
    </row>
    <row r="95" spans="1:4" x14ac:dyDescent="0.3">
      <c r="A95" s="1" t="s">
        <v>15</v>
      </c>
      <c r="B95">
        <v>3</v>
      </c>
      <c r="C95">
        <v>2017</v>
      </c>
      <c r="D95">
        <v>0.4</v>
      </c>
    </row>
    <row r="96" spans="1:4" x14ac:dyDescent="0.3">
      <c r="A96" s="1" t="s">
        <v>15</v>
      </c>
      <c r="B96">
        <v>4</v>
      </c>
      <c r="C96">
        <v>2017</v>
      </c>
      <c r="D96">
        <v>0.1</v>
      </c>
    </row>
    <row r="97" spans="1:4" x14ac:dyDescent="0.3">
      <c r="A97" s="1" t="s">
        <v>15</v>
      </c>
      <c r="B97">
        <v>5</v>
      </c>
      <c r="C97">
        <v>2017</v>
      </c>
      <c r="D97">
        <v>0</v>
      </c>
    </row>
    <row r="98" spans="1:4" x14ac:dyDescent="0.3">
      <c r="A98" s="1" t="s">
        <v>5</v>
      </c>
      <c r="B98">
        <v>0</v>
      </c>
      <c r="C98">
        <v>2017</v>
      </c>
      <c r="D98">
        <v>73.5</v>
      </c>
    </row>
    <row r="99" spans="1:4" x14ac:dyDescent="0.3">
      <c r="A99" s="1" t="s">
        <v>5</v>
      </c>
      <c r="B99">
        <v>1</v>
      </c>
      <c r="C99">
        <v>2017</v>
      </c>
      <c r="D99">
        <v>40.5</v>
      </c>
    </row>
    <row r="100" spans="1:4" x14ac:dyDescent="0.3">
      <c r="A100" s="1" t="s">
        <v>16</v>
      </c>
      <c r="B100">
        <v>2</v>
      </c>
      <c r="C100">
        <v>2017</v>
      </c>
      <c r="D100">
        <v>13.3</v>
      </c>
    </row>
    <row r="101" spans="1:4" x14ac:dyDescent="0.3">
      <c r="A101" s="1" t="s">
        <v>16</v>
      </c>
      <c r="B101">
        <v>3</v>
      </c>
      <c r="C101">
        <v>2017</v>
      </c>
      <c r="D101">
        <v>3.8000000000000003</v>
      </c>
    </row>
    <row r="102" spans="1:4" x14ac:dyDescent="0.3">
      <c r="A102" s="1" t="s">
        <v>16</v>
      </c>
      <c r="B102">
        <v>4</v>
      </c>
      <c r="C102">
        <v>2017</v>
      </c>
      <c r="D102">
        <v>1.1000000000000001</v>
      </c>
    </row>
    <row r="103" spans="1:4" x14ac:dyDescent="0.3">
      <c r="A103" s="1" t="s">
        <v>16</v>
      </c>
      <c r="B103">
        <v>5</v>
      </c>
      <c r="C103">
        <v>2017</v>
      </c>
      <c r="D103">
        <v>0.2</v>
      </c>
    </row>
    <row r="104" spans="1:4" x14ac:dyDescent="0.3">
      <c r="A104" s="1" t="s">
        <v>6</v>
      </c>
      <c r="B104">
        <v>0</v>
      </c>
      <c r="C104">
        <v>2017</v>
      </c>
      <c r="D104">
        <v>85</v>
      </c>
    </row>
    <row r="105" spans="1:4" x14ac:dyDescent="0.3">
      <c r="A105" s="1" t="s">
        <v>6</v>
      </c>
      <c r="B105">
        <v>1</v>
      </c>
      <c r="C105">
        <v>2017</v>
      </c>
      <c r="D105">
        <v>60.400000000000006</v>
      </c>
    </row>
    <row r="106" spans="1:4" x14ac:dyDescent="0.3">
      <c r="A106" s="1" t="s">
        <v>11</v>
      </c>
      <c r="B106">
        <v>2</v>
      </c>
      <c r="C106">
        <v>2017</v>
      </c>
      <c r="D106">
        <v>27.7</v>
      </c>
    </row>
    <row r="107" spans="1:4" x14ac:dyDescent="0.3">
      <c r="A107" s="1" t="s">
        <v>11</v>
      </c>
      <c r="B107">
        <v>3</v>
      </c>
      <c r="C107">
        <v>2017</v>
      </c>
      <c r="D107">
        <v>10.5</v>
      </c>
    </row>
    <row r="108" spans="1:4" x14ac:dyDescent="0.3">
      <c r="A108" s="1" t="s">
        <v>11</v>
      </c>
      <c r="B108">
        <v>4</v>
      </c>
      <c r="C108">
        <v>2017</v>
      </c>
      <c r="D108">
        <v>3.7</v>
      </c>
    </row>
    <row r="109" spans="1:4" x14ac:dyDescent="0.3">
      <c r="A109" s="1" t="s">
        <v>11</v>
      </c>
      <c r="B109">
        <v>5</v>
      </c>
      <c r="C109">
        <v>2017</v>
      </c>
      <c r="D109">
        <v>1.3</v>
      </c>
    </row>
    <row r="110" spans="1:4" x14ac:dyDescent="0.3">
      <c r="A110" s="1" t="s">
        <v>7</v>
      </c>
      <c r="B110">
        <v>0</v>
      </c>
      <c r="C110">
        <v>2017</v>
      </c>
      <c r="D110">
        <v>89.4</v>
      </c>
    </row>
    <row r="111" spans="1:4" x14ac:dyDescent="0.3">
      <c r="A111" s="1" t="s">
        <v>7</v>
      </c>
      <c r="B111">
        <v>1</v>
      </c>
      <c r="C111">
        <v>2017</v>
      </c>
      <c r="D111">
        <v>72.2</v>
      </c>
    </row>
    <row r="112" spans="1:4" x14ac:dyDescent="0.3">
      <c r="A112" s="1" t="s">
        <v>12</v>
      </c>
      <c r="B112">
        <v>2</v>
      </c>
      <c r="C112">
        <v>2017</v>
      </c>
      <c r="D112">
        <v>42.4</v>
      </c>
    </row>
    <row r="113" spans="1:4" x14ac:dyDescent="0.3">
      <c r="A113" s="1" t="s">
        <v>12</v>
      </c>
      <c r="B113">
        <v>3</v>
      </c>
      <c r="C113">
        <v>2017</v>
      </c>
      <c r="D113">
        <v>20.099999999999998</v>
      </c>
    </row>
    <row r="114" spans="1:4" x14ac:dyDescent="0.3">
      <c r="A114" s="1" t="s">
        <v>12</v>
      </c>
      <c r="B114">
        <v>4</v>
      </c>
      <c r="C114">
        <v>2017</v>
      </c>
      <c r="D114">
        <v>9.3999999999999986</v>
      </c>
    </row>
    <row r="115" spans="1:4" x14ac:dyDescent="0.3">
      <c r="A115" s="1" t="s">
        <v>12</v>
      </c>
      <c r="B115">
        <v>5</v>
      </c>
      <c r="C115">
        <v>2017</v>
      </c>
      <c r="D115">
        <v>4.3</v>
      </c>
    </row>
    <row r="116" spans="1:4" x14ac:dyDescent="0.3">
      <c r="A116" s="1" t="s">
        <v>8</v>
      </c>
      <c r="B116">
        <v>0</v>
      </c>
      <c r="C116">
        <v>2017</v>
      </c>
      <c r="D116">
        <v>91.999999999999986</v>
      </c>
    </row>
    <row r="117" spans="1:4" x14ac:dyDescent="0.3">
      <c r="A117" s="1" t="s">
        <v>8</v>
      </c>
      <c r="B117">
        <v>1</v>
      </c>
      <c r="C117">
        <v>2017</v>
      </c>
      <c r="D117">
        <v>79.199999999999989</v>
      </c>
    </row>
    <row r="118" spans="1:4" x14ac:dyDescent="0.3">
      <c r="A118" s="1" t="s">
        <v>13</v>
      </c>
      <c r="B118">
        <v>2</v>
      </c>
      <c r="C118">
        <v>2017</v>
      </c>
      <c r="D118">
        <v>52.599999999999994</v>
      </c>
    </row>
    <row r="119" spans="1:4" x14ac:dyDescent="0.3">
      <c r="A119" s="1" t="s">
        <v>13</v>
      </c>
      <c r="B119">
        <v>3</v>
      </c>
      <c r="C119">
        <v>2017</v>
      </c>
      <c r="D119">
        <v>29.7</v>
      </c>
    </row>
    <row r="120" spans="1:4" x14ac:dyDescent="0.3">
      <c r="A120" s="1" t="s">
        <v>13</v>
      </c>
      <c r="B120">
        <v>4</v>
      </c>
      <c r="C120">
        <v>2017</v>
      </c>
      <c r="D120">
        <v>15.5</v>
      </c>
    </row>
    <row r="121" spans="1:4" x14ac:dyDescent="0.3">
      <c r="A121" s="1" t="s">
        <v>13</v>
      </c>
      <c r="B121">
        <v>5</v>
      </c>
      <c r="C121">
        <v>2017</v>
      </c>
      <c r="D121">
        <v>8.6</v>
      </c>
    </row>
    <row r="122" spans="1:4" x14ac:dyDescent="0.3">
      <c r="A122" s="1" t="s">
        <v>9</v>
      </c>
      <c r="B122">
        <v>0</v>
      </c>
      <c r="C122">
        <v>2017</v>
      </c>
      <c r="D122">
        <v>93.2</v>
      </c>
    </row>
    <row r="123" spans="1:4" x14ac:dyDescent="0.3">
      <c r="A123" s="1" t="s">
        <v>9</v>
      </c>
      <c r="B123">
        <v>1</v>
      </c>
      <c r="C123">
        <v>2017</v>
      </c>
      <c r="D123">
        <v>82.8</v>
      </c>
    </row>
    <row r="124" spans="1:4" x14ac:dyDescent="0.3">
      <c r="A124" s="1" t="s">
        <v>9</v>
      </c>
      <c r="B124">
        <v>2</v>
      </c>
      <c r="C124">
        <v>2017</v>
      </c>
      <c r="D124">
        <v>59.8</v>
      </c>
    </row>
    <row r="125" spans="1:4" x14ac:dyDescent="0.3">
      <c r="A125" s="1" t="s">
        <v>9</v>
      </c>
      <c r="B125">
        <v>3</v>
      </c>
      <c r="C125">
        <v>2017</v>
      </c>
      <c r="D125">
        <v>35.6</v>
      </c>
    </row>
    <row r="126" spans="1:4" x14ac:dyDescent="0.3">
      <c r="A126" s="1" t="s">
        <v>9</v>
      </c>
      <c r="B126">
        <v>4</v>
      </c>
      <c r="C126">
        <v>2017</v>
      </c>
      <c r="D126">
        <v>21.2</v>
      </c>
    </row>
    <row r="127" spans="1:4" x14ac:dyDescent="0.3">
      <c r="A127" s="1" t="s">
        <v>9</v>
      </c>
      <c r="B127">
        <v>5</v>
      </c>
      <c r="C127">
        <v>2017</v>
      </c>
      <c r="D127">
        <v>12.6</v>
      </c>
    </row>
    <row r="128" spans="1:4" x14ac:dyDescent="0.3">
      <c r="A128" s="1" t="s">
        <v>3</v>
      </c>
      <c r="B128">
        <v>0</v>
      </c>
      <c r="C128">
        <v>2018</v>
      </c>
      <c r="D128">
        <v>9.4</v>
      </c>
    </row>
    <row r="129" spans="1:4" x14ac:dyDescent="0.3">
      <c r="A129" s="1" t="s">
        <v>3</v>
      </c>
      <c r="B129">
        <v>1</v>
      </c>
      <c r="C129">
        <v>2018</v>
      </c>
      <c r="D129">
        <v>1.1000000000000001</v>
      </c>
    </row>
    <row r="130" spans="1:4" x14ac:dyDescent="0.3">
      <c r="A130" s="1" t="s">
        <v>3</v>
      </c>
      <c r="B130">
        <v>2</v>
      </c>
      <c r="C130">
        <v>2018</v>
      </c>
      <c r="D130">
        <v>0.1</v>
      </c>
    </row>
    <row r="131" spans="1:4" x14ac:dyDescent="0.3">
      <c r="A131" s="1" t="s">
        <v>17</v>
      </c>
      <c r="B131">
        <v>3</v>
      </c>
      <c r="C131">
        <v>2018</v>
      </c>
      <c r="D131">
        <v>0</v>
      </c>
    </row>
    <row r="132" spans="1:4" x14ac:dyDescent="0.3">
      <c r="A132" s="1" t="s">
        <v>17</v>
      </c>
      <c r="B132">
        <v>4</v>
      </c>
      <c r="C132">
        <v>2018</v>
      </c>
      <c r="D132">
        <v>0</v>
      </c>
    </row>
    <row r="133" spans="1:4" x14ac:dyDescent="0.3">
      <c r="A133" s="1" t="s">
        <v>17</v>
      </c>
      <c r="B133">
        <v>5</v>
      </c>
      <c r="C133">
        <v>2018</v>
      </c>
      <c r="D133">
        <v>0</v>
      </c>
    </row>
    <row r="134" spans="1:4" x14ac:dyDescent="0.3">
      <c r="A134" s="1" t="s">
        <v>4</v>
      </c>
      <c r="B134">
        <v>0</v>
      </c>
      <c r="C134">
        <v>2018</v>
      </c>
      <c r="D134">
        <v>43</v>
      </c>
    </row>
    <row r="135" spans="1:4" x14ac:dyDescent="0.3">
      <c r="A135" s="1" t="s">
        <v>4</v>
      </c>
      <c r="B135">
        <v>1</v>
      </c>
      <c r="C135">
        <v>2018</v>
      </c>
      <c r="D135">
        <v>13.1</v>
      </c>
    </row>
    <row r="136" spans="1:4" x14ac:dyDescent="0.3">
      <c r="A136" s="1" t="s">
        <v>15</v>
      </c>
      <c r="B136">
        <v>2</v>
      </c>
      <c r="C136">
        <v>2018</v>
      </c>
      <c r="D136">
        <v>2.5</v>
      </c>
    </row>
    <row r="137" spans="1:4" x14ac:dyDescent="0.3">
      <c r="A137" s="1" t="s">
        <v>15</v>
      </c>
      <c r="B137">
        <v>3</v>
      </c>
      <c r="C137">
        <v>2018</v>
      </c>
      <c r="D137">
        <v>0.5</v>
      </c>
    </row>
    <row r="138" spans="1:4" x14ac:dyDescent="0.3">
      <c r="A138" s="1" t="s">
        <v>15</v>
      </c>
      <c r="B138">
        <v>4</v>
      </c>
      <c r="C138">
        <v>2018</v>
      </c>
      <c r="D138">
        <v>0.1</v>
      </c>
    </row>
    <row r="139" spans="1:4" x14ac:dyDescent="0.3">
      <c r="A139" s="1" t="s">
        <v>15</v>
      </c>
      <c r="B139">
        <v>5</v>
      </c>
      <c r="C139">
        <v>2018</v>
      </c>
      <c r="D139">
        <v>0</v>
      </c>
    </row>
    <row r="140" spans="1:4" x14ac:dyDescent="0.3">
      <c r="A140" s="1" t="s">
        <v>5</v>
      </c>
      <c r="B140">
        <v>0</v>
      </c>
      <c r="C140">
        <v>2018</v>
      </c>
      <c r="D140">
        <v>70.400000000000006</v>
      </c>
    </row>
    <row r="141" spans="1:4" x14ac:dyDescent="0.3">
      <c r="A141" s="1" t="s">
        <v>5</v>
      </c>
      <c r="B141">
        <v>1</v>
      </c>
      <c r="C141">
        <v>2018</v>
      </c>
      <c r="D141">
        <v>37</v>
      </c>
    </row>
    <row r="142" spans="1:4" x14ac:dyDescent="0.3">
      <c r="A142" s="1" t="s">
        <v>16</v>
      </c>
      <c r="B142">
        <v>2</v>
      </c>
      <c r="C142">
        <v>2018</v>
      </c>
      <c r="D142">
        <v>11.7</v>
      </c>
    </row>
    <row r="143" spans="1:4" x14ac:dyDescent="0.3">
      <c r="A143" s="1" t="s">
        <v>16</v>
      </c>
      <c r="B143">
        <v>3</v>
      </c>
      <c r="C143">
        <v>2018</v>
      </c>
      <c r="D143">
        <v>3.2</v>
      </c>
    </row>
    <row r="144" spans="1:4" x14ac:dyDescent="0.3">
      <c r="A144" s="1" t="s">
        <v>16</v>
      </c>
      <c r="B144">
        <v>4</v>
      </c>
      <c r="C144">
        <v>2018</v>
      </c>
      <c r="D144">
        <v>0.7</v>
      </c>
    </row>
    <row r="145" spans="1:4" x14ac:dyDescent="0.3">
      <c r="A145" s="1" t="s">
        <v>16</v>
      </c>
      <c r="B145">
        <v>5</v>
      </c>
      <c r="C145">
        <v>2018</v>
      </c>
      <c r="D145">
        <v>0.1</v>
      </c>
    </row>
    <row r="146" spans="1:4" x14ac:dyDescent="0.3">
      <c r="A146" s="1" t="s">
        <v>6</v>
      </c>
      <c r="B146">
        <v>0</v>
      </c>
      <c r="C146">
        <v>2018</v>
      </c>
      <c r="D146">
        <v>84.300000000000011</v>
      </c>
    </row>
    <row r="147" spans="1:4" x14ac:dyDescent="0.3">
      <c r="A147" s="1" t="s">
        <v>6</v>
      </c>
      <c r="B147">
        <v>1</v>
      </c>
      <c r="C147">
        <v>2018</v>
      </c>
      <c r="D147">
        <v>59.400000000000006</v>
      </c>
    </row>
    <row r="148" spans="1:4" x14ac:dyDescent="0.3">
      <c r="A148" s="1" t="s">
        <v>11</v>
      </c>
      <c r="B148">
        <v>2</v>
      </c>
      <c r="C148">
        <v>2018</v>
      </c>
      <c r="D148">
        <v>27.400000000000002</v>
      </c>
    </row>
    <row r="149" spans="1:4" x14ac:dyDescent="0.3">
      <c r="A149" s="1" t="s">
        <v>11</v>
      </c>
      <c r="B149">
        <v>3</v>
      </c>
      <c r="C149">
        <v>2018</v>
      </c>
      <c r="D149">
        <v>9.8000000000000007</v>
      </c>
    </row>
    <row r="150" spans="1:4" x14ac:dyDescent="0.3">
      <c r="A150" s="1" t="s">
        <v>11</v>
      </c>
      <c r="B150">
        <v>4</v>
      </c>
      <c r="C150">
        <v>2018</v>
      </c>
      <c r="D150">
        <v>3.4000000000000004</v>
      </c>
    </row>
    <row r="151" spans="1:4" x14ac:dyDescent="0.3">
      <c r="A151" s="1" t="s">
        <v>11</v>
      </c>
      <c r="B151">
        <v>5</v>
      </c>
      <c r="C151">
        <v>2018</v>
      </c>
      <c r="D151">
        <v>1.2000000000000002</v>
      </c>
    </row>
    <row r="152" spans="1:4" x14ac:dyDescent="0.3">
      <c r="A152" s="1" t="s">
        <v>7</v>
      </c>
      <c r="B152">
        <v>0</v>
      </c>
      <c r="C152">
        <v>2018</v>
      </c>
      <c r="D152">
        <v>90</v>
      </c>
    </row>
    <row r="153" spans="1:4" x14ac:dyDescent="0.3">
      <c r="A153" s="1" t="s">
        <v>7</v>
      </c>
      <c r="B153">
        <v>1</v>
      </c>
      <c r="C153">
        <v>2018</v>
      </c>
      <c r="D153">
        <v>72.7</v>
      </c>
    </row>
    <row r="154" spans="1:4" x14ac:dyDescent="0.3">
      <c r="A154" s="1" t="s">
        <v>12</v>
      </c>
      <c r="B154">
        <v>2</v>
      </c>
      <c r="C154">
        <v>2018</v>
      </c>
      <c r="D154">
        <v>40.900000000000006</v>
      </c>
    </row>
    <row r="155" spans="1:4" x14ac:dyDescent="0.3">
      <c r="A155" s="1" t="s">
        <v>12</v>
      </c>
      <c r="B155">
        <v>3</v>
      </c>
      <c r="C155">
        <v>2018</v>
      </c>
      <c r="D155">
        <v>18.700000000000003</v>
      </c>
    </row>
    <row r="156" spans="1:4" x14ac:dyDescent="0.3">
      <c r="A156" s="1" t="s">
        <v>12</v>
      </c>
      <c r="B156">
        <v>4</v>
      </c>
      <c r="C156">
        <v>2018</v>
      </c>
      <c r="D156">
        <v>8.4</v>
      </c>
    </row>
    <row r="157" spans="1:4" x14ac:dyDescent="0.3">
      <c r="A157" s="1" t="s">
        <v>12</v>
      </c>
      <c r="B157">
        <v>5</v>
      </c>
      <c r="C157">
        <v>2018</v>
      </c>
      <c r="D157">
        <v>3.8000000000000003</v>
      </c>
    </row>
    <row r="158" spans="1:4" x14ac:dyDescent="0.3">
      <c r="A158" s="1" t="s">
        <v>8</v>
      </c>
      <c r="B158">
        <v>0</v>
      </c>
      <c r="C158">
        <v>2018</v>
      </c>
      <c r="D158">
        <v>92.7</v>
      </c>
    </row>
    <row r="159" spans="1:4" x14ac:dyDescent="0.3">
      <c r="A159" s="1" t="s">
        <v>8</v>
      </c>
      <c r="B159">
        <v>1</v>
      </c>
      <c r="C159">
        <v>2018</v>
      </c>
      <c r="D159">
        <v>78.3</v>
      </c>
    </row>
    <row r="160" spans="1:4" x14ac:dyDescent="0.3">
      <c r="A160" s="1" t="s">
        <v>13</v>
      </c>
      <c r="B160">
        <v>2</v>
      </c>
      <c r="C160">
        <v>2018</v>
      </c>
      <c r="D160">
        <v>50.3</v>
      </c>
    </row>
    <row r="161" spans="1:4" x14ac:dyDescent="0.3">
      <c r="A161" s="1" t="s">
        <v>13</v>
      </c>
      <c r="B161">
        <v>3</v>
      </c>
      <c r="C161">
        <v>2018</v>
      </c>
      <c r="D161">
        <v>28</v>
      </c>
    </row>
    <row r="162" spans="1:4" x14ac:dyDescent="0.3">
      <c r="A162" s="1" t="s">
        <v>13</v>
      </c>
      <c r="B162">
        <v>4</v>
      </c>
      <c r="C162">
        <v>2018</v>
      </c>
      <c r="D162">
        <v>14</v>
      </c>
    </row>
    <row r="163" spans="1:4" x14ac:dyDescent="0.3">
      <c r="A163" s="1" t="s">
        <v>13</v>
      </c>
      <c r="B163">
        <v>5</v>
      </c>
      <c r="C163">
        <v>2018</v>
      </c>
      <c r="D163">
        <v>7.3</v>
      </c>
    </row>
    <row r="164" spans="1:4" x14ac:dyDescent="0.3">
      <c r="A164" s="1" t="s">
        <v>9</v>
      </c>
      <c r="B164">
        <v>0</v>
      </c>
      <c r="C164">
        <v>2018</v>
      </c>
      <c r="D164">
        <v>92.8</v>
      </c>
    </row>
    <row r="165" spans="1:4" x14ac:dyDescent="0.3">
      <c r="A165" s="1" t="s">
        <v>9</v>
      </c>
      <c r="B165">
        <v>1</v>
      </c>
      <c r="C165">
        <v>2018</v>
      </c>
      <c r="D165">
        <v>81.8</v>
      </c>
    </row>
    <row r="166" spans="1:4" x14ac:dyDescent="0.3">
      <c r="A166" s="1" t="s">
        <v>14</v>
      </c>
      <c r="B166">
        <v>2</v>
      </c>
      <c r="C166">
        <v>2018</v>
      </c>
      <c r="D166">
        <v>56.8</v>
      </c>
    </row>
    <row r="167" spans="1:4" x14ac:dyDescent="0.3">
      <c r="A167" s="1" t="s">
        <v>14</v>
      </c>
      <c r="B167">
        <v>3</v>
      </c>
      <c r="C167">
        <v>2018</v>
      </c>
      <c r="D167">
        <v>33.1</v>
      </c>
    </row>
    <row r="168" spans="1:4" x14ac:dyDescent="0.3">
      <c r="A168" s="1" t="s">
        <v>14</v>
      </c>
      <c r="B168">
        <v>4</v>
      </c>
      <c r="C168">
        <v>2018</v>
      </c>
      <c r="D168">
        <v>20</v>
      </c>
    </row>
    <row r="169" spans="1:4" x14ac:dyDescent="0.3">
      <c r="A169" s="1" t="s">
        <v>14</v>
      </c>
      <c r="B169">
        <v>5</v>
      </c>
      <c r="C169">
        <v>2018</v>
      </c>
      <c r="D169">
        <v>12</v>
      </c>
    </row>
    <row r="170" spans="1:4" x14ac:dyDescent="0.3">
      <c r="A170" s="1" t="s">
        <v>3</v>
      </c>
      <c r="B170">
        <v>0</v>
      </c>
      <c r="C170">
        <v>2020</v>
      </c>
      <c r="D170">
        <v>6.6000000000000005</v>
      </c>
    </row>
    <row r="171" spans="1:4" x14ac:dyDescent="0.3">
      <c r="A171" s="1" t="s">
        <v>3</v>
      </c>
      <c r="B171">
        <v>1</v>
      </c>
      <c r="C171">
        <v>2020</v>
      </c>
      <c r="D171">
        <v>0.7</v>
      </c>
    </row>
    <row r="172" spans="1:4" x14ac:dyDescent="0.3">
      <c r="A172" s="1" t="s">
        <v>3</v>
      </c>
      <c r="B172">
        <v>2</v>
      </c>
      <c r="C172">
        <v>2020</v>
      </c>
      <c r="D172">
        <v>0.1</v>
      </c>
    </row>
    <row r="173" spans="1:4" x14ac:dyDescent="0.3">
      <c r="A173" s="1" t="s">
        <v>17</v>
      </c>
      <c r="B173">
        <v>3</v>
      </c>
      <c r="C173">
        <v>2020</v>
      </c>
      <c r="D173">
        <v>0</v>
      </c>
    </row>
    <row r="174" spans="1:4" x14ac:dyDescent="0.3">
      <c r="A174" s="1" t="s">
        <v>17</v>
      </c>
      <c r="B174">
        <v>4</v>
      </c>
      <c r="C174">
        <v>2020</v>
      </c>
      <c r="D174">
        <v>0</v>
      </c>
    </row>
    <row r="175" spans="1:4" x14ac:dyDescent="0.3">
      <c r="A175" s="1" t="s">
        <v>17</v>
      </c>
      <c r="B175">
        <v>5</v>
      </c>
      <c r="C175">
        <v>2020</v>
      </c>
      <c r="D175">
        <v>0</v>
      </c>
    </row>
    <row r="176" spans="1:4" x14ac:dyDescent="0.3">
      <c r="A176" s="1" t="s">
        <v>4</v>
      </c>
      <c r="B176">
        <v>0</v>
      </c>
      <c r="C176">
        <v>2020</v>
      </c>
      <c r="D176">
        <v>35.099999999999994</v>
      </c>
    </row>
    <row r="177" spans="1:4" x14ac:dyDescent="0.3">
      <c r="A177" s="1" t="s">
        <v>15</v>
      </c>
      <c r="B177">
        <v>1</v>
      </c>
      <c r="C177">
        <v>2020</v>
      </c>
      <c r="D177">
        <v>10.199999999999999</v>
      </c>
    </row>
    <row r="178" spans="1:4" x14ac:dyDescent="0.3">
      <c r="A178" s="1" t="s">
        <v>15</v>
      </c>
      <c r="B178">
        <v>2</v>
      </c>
      <c r="C178">
        <v>2020</v>
      </c>
      <c r="D178">
        <v>1.7</v>
      </c>
    </row>
    <row r="179" spans="1:4" x14ac:dyDescent="0.3">
      <c r="A179" s="1" t="s">
        <v>15</v>
      </c>
      <c r="B179">
        <v>3</v>
      </c>
      <c r="C179">
        <v>2020</v>
      </c>
      <c r="D179">
        <v>0.2</v>
      </c>
    </row>
    <row r="180" spans="1:4" x14ac:dyDescent="0.3">
      <c r="A180" s="1" t="s">
        <v>15</v>
      </c>
      <c r="B180">
        <v>4</v>
      </c>
      <c r="C180">
        <v>2020</v>
      </c>
      <c r="D180">
        <v>0</v>
      </c>
    </row>
    <row r="181" spans="1:4" x14ac:dyDescent="0.3">
      <c r="A181" s="1" t="s">
        <v>15</v>
      </c>
      <c r="B181">
        <v>5</v>
      </c>
      <c r="C181">
        <v>2020</v>
      </c>
      <c r="D181">
        <v>0</v>
      </c>
    </row>
    <row r="182" spans="1:4" x14ac:dyDescent="0.3">
      <c r="A182" s="1" t="s">
        <v>5</v>
      </c>
      <c r="B182">
        <v>0</v>
      </c>
      <c r="C182">
        <v>2020</v>
      </c>
      <c r="D182">
        <v>66.600000000000009</v>
      </c>
    </row>
    <row r="183" spans="1:4" x14ac:dyDescent="0.3">
      <c r="A183" s="1" t="s">
        <v>5</v>
      </c>
      <c r="B183">
        <v>1</v>
      </c>
      <c r="C183">
        <v>2020</v>
      </c>
      <c r="D183">
        <v>34.900000000000006</v>
      </c>
    </row>
    <row r="184" spans="1:4" x14ac:dyDescent="0.3">
      <c r="A184" s="1" t="s">
        <v>16</v>
      </c>
      <c r="B184">
        <v>2</v>
      </c>
      <c r="C184">
        <v>2020</v>
      </c>
      <c r="D184">
        <v>10.3</v>
      </c>
    </row>
    <row r="185" spans="1:4" x14ac:dyDescent="0.3">
      <c r="A185" s="1" t="s">
        <v>16</v>
      </c>
      <c r="B185">
        <v>3</v>
      </c>
      <c r="C185">
        <v>2020</v>
      </c>
      <c r="D185">
        <v>2.2999999999999998</v>
      </c>
    </row>
    <row r="186" spans="1:4" x14ac:dyDescent="0.3">
      <c r="A186" s="1" t="s">
        <v>16</v>
      </c>
      <c r="B186">
        <v>4</v>
      </c>
      <c r="C186">
        <v>2020</v>
      </c>
      <c r="D186">
        <v>0.4</v>
      </c>
    </row>
    <row r="187" spans="1:4" x14ac:dyDescent="0.3">
      <c r="A187" s="1" t="s">
        <v>16</v>
      </c>
      <c r="B187">
        <v>5</v>
      </c>
      <c r="C187">
        <v>2020</v>
      </c>
      <c r="D187">
        <v>0.1</v>
      </c>
    </row>
    <row r="188" spans="1:4" x14ac:dyDescent="0.3">
      <c r="A188" s="1" t="s">
        <v>6</v>
      </c>
      <c r="B188">
        <v>0</v>
      </c>
      <c r="C188">
        <v>2020</v>
      </c>
      <c r="D188">
        <v>84.1</v>
      </c>
    </row>
    <row r="189" spans="1:4" x14ac:dyDescent="0.3">
      <c r="A189" s="1" t="s">
        <v>6</v>
      </c>
      <c r="B189">
        <v>1</v>
      </c>
      <c r="C189">
        <v>2020</v>
      </c>
      <c r="D189">
        <v>58.3</v>
      </c>
    </row>
    <row r="190" spans="1:4" x14ac:dyDescent="0.3">
      <c r="A190" s="1" t="s">
        <v>11</v>
      </c>
      <c r="B190">
        <v>2</v>
      </c>
      <c r="C190">
        <v>2020</v>
      </c>
      <c r="D190">
        <v>26.5</v>
      </c>
    </row>
    <row r="191" spans="1:4" x14ac:dyDescent="0.3">
      <c r="A191" s="1" t="s">
        <v>11</v>
      </c>
      <c r="B191">
        <v>3</v>
      </c>
      <c r="C191">
        <v>2020</v>
      </c>
      <c r="D191">
        <v>9.5</v>
      </c>
    </row>
    <row r="192" spans="1:4" x14ac:dyDescent="0.3">
      <c r="A192" s="1" t="s">
        <v>11</v>
      </c>
      <c r="B192">
        <v>4</v>
      </c>
      <c r="C192">
        <v>2020</v>
      </c>
      <c r="D192">
        <v>3.0999999999999996</v>
      </c>
    </row>
    <row r="193" spans="1:4" x14ac:dyDescent="0.3">
      <c r="A193" s="1" t="s">
        <v>11</v>
      </c>
      <c r="B193">
        <v>5</v>
      </c>
      <c r="C193">
        <v>2020</v>
      </c>
      <c r="D193">
        <v>0.79999999999999993</v>
      </c>
    </row>
    <row r="194" spans="1:4" x14ac:dyDescent="0.3">
      <c r="A194" s="1" t="s">
        <v>7</v>
      </c>
      <c r="B194">
        <v>0</v>
      </c>
      <c r="C194">
        <v>2020</v>
      </c>
      <c r="D194">
        <v>91.399999999999991</v>
      </c>
    </row>
    <row r="195" spans="1:4" x14ac:dyDescent="0.3">
      <c r="A195" s="1" t="s">
        <v>7</v>
      </c>
      <c r="B195">
        <v>1</v>
      </c>
      <c r="C195">
        <v>2020</v>
      </c>
      <c r="D195">
        <v>73.599999999999994</v>
      </c>
    </row>
    <row r="196" spans="1:4" x14ac:dyDescent="0.3">
      <c r="A196" s="1" t="s">
        <v>12</v>
      </c>
      <c r="B196">
        <v>2</v>
      </c>
      <c r="C196">
        <v>2020</v>
      </c>
      <c r="D196">
        <v>41.7</v>
      </c>
    </row>
    <row r="197" spans="1:4" x14ac:dyDescent="0.3">
      <c r="A197" s="1" t="s">
        <v>12</v>
      </c>
      <c r="B197">
        <v>3</v>
      </c>
      <c r="C197">
        <v>2020</v>
      </c>
      <c r="D197">
        <v>18.8</v>
      </c>
    </row>
    <row r="198" spans="1:4" x14ac:dyDescent="0.3">
      <c r="A198" s="1" t="s">
        <v>12</v>
      </c>
      <c r="B198">
        <v>4</v>
      </c>
      <c r="C198">
        <v>2020</v>
      </c>
      <c r="D198">
        <v>6.8999999999999995</v>
      </c>
    </row>
    <row r="199" spans="1:4" x14ac:dyDescent="0.3">
      <c r="A199" s="1" t="s">
        <v>12</v>
      </c>
      <c r="B199">
        <v>5</v>
      </c>
      <c r="C199">
        <v>2020</v>
      </c>
      <c r="D199">
        <v>2.5999999999999996</v>
      </c>
    </row>
    <row r="200" spans="1:4" x14ac:dyDescent="0.3">
      <c r="A200" s="1" t="s">
        <v>8</v>
      </c>
      <c r="B200">
        <v>0</v>
      </c>
      <c r="C200">
        <v>2020</v>
      </c>
      <c r="D200">
        <v>93.600000000000009</v>
      </c>
    </row>
    <row r="201" spans="1:4" x14ac:dyDescent="0.3">
      <c r="A201" s="1" t="s">
        <v>8</v>
      </c>
      <c r="B201">
        <v>1</v>
      </c>
      <c r="C201">
        <v>2020</v>
      </c>
      <c r="D201">
        <v>80.400000000000006</v>
      </c>
    </row>
    <row r="202" spans="1:4" x14ac:dyDescent="0.3">
      <c r="A202" s="1" t="s">
        <v>13</v>
      </c>
      <c r="B202">
        <v>2</v>
      </c>
      <c r="C202">
        <v>2020</v>
      </c>
      <c r="D202">
        <v>52.400000000000006</v>
      </c>
    </row>
    <row r="203" spans="1:4" x14ac:dyDescent="0.3">
      <c r="A203" s="1" t="s">
        <v>13</v>
      </c>
      <c r="B203">
        <v>3</v>
      </c>
      <c r="C203">
        <v>2020</v>
      </c>
      <c r="D203">
        <v>26.200000000000003</v>
      </c>
    </row>
    <row r="204" spans="1:4" x14ac:dyDescent="0.3">
      <c r="A204" s="1" t="s">
        <v>13</v>
      </c>
      <c r="B204">
        <v>4</v>
      </c>
      <c r="C204">
        <v>2020</v>
      </c>
      <c r="D204">
        <v>13.100000000000001</v>
      </c>
    </row>
    <row r="205" spans="1:4" x14ac:dyDescent="0.3">
      <c r="A205" s="1" t="s">
        <v>13</v>
      </c>
      <c r="B205">
        <v>5</v>
      </c>
      <c r="C205">
        <v>2020</v>
      </c>
      <c r="D205">
        <v>6.0000000000000009</v>
      </c>
    </row>
    <row r="206" spans="1:4" x14ac:dyDescent="0.3">
      <c r="A206" s="1" t="s">
        <v>9</v>
      </c>
      <c r="B206">
        <v>0</v>
      </c>
      <c r="C206">
        <v>2020</v>
      </c>
      <c r="D206">
        <v>94.100000000000009</v>
      </c>
    </row>
    <row r="207" spans="1:4" x14ac:dyDescent="0.3">
      <c r="A207" s="1" t="s">
        <v>9</v>
      </c>
      <c r="B207">
        <v>1</v>
      </c>
      <c r="C207">
        <v>2020</v>
      </c>
      <c r="D207">
        <v>81.400000000000006</v>
      </c>
    </row>
    <row r="208" spans="1:4" x14ac:dyDescent="0.3">
      <c r="A208" s="1" t="s">
        <v>14</v>
      </c>
      <c r="B208">
        <v>2</v>
      </c>
      <c r="C208">
        <v>2020</v>
      </c>
      <c r="D208">
        <v>52.600000000000009</v>
      </c>
    </row>
    <row r="209" spans="1:4" x14ac:dyDescent="0.3">
      <c r="A209" s="1" t="s">
        <v>14</v>
      </c>
      <c r="B209">
        <v>3</v>
      </c>
      <c r="C209">
        <v>2020</v>
      </c>
      <c r="D209">
        <v>30.500000000000004</v>
      </c>
    </row>
    <row r="210" spans="1:4" x14ac:dyDescent="0.3">
      <c r="A210" s="1" t="s">
        <v>14</v>
      </c>
      <c r="B210">
        <v>4</v>
      </c>
      <c r="C210">
        <v>2020</v>
      </c>
      <c r="D210">
        <v>17.200000000000003</v>
      </c>
    </row>
    <row r="211" spans="1:4" x14ac:dyDescent="0.3">
      <c r="A211" s="1" t="s">
        <v>14</v>
      </c>
      <c r="B211">
        <v>5</v>
      </c>
      <c r="C211">
        <v>2020</v>
      </c>
      <c r="D211">
        <v>10.000000000000002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children_trans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Edgar Mauricio Poco Aguilar</cp:lastModifiedBy>
  <dcterms:created xsi:type="dcterms:W3CDTF">2023-05-28T13:10:29Z</dcterms:created>
  <dcterms:modified xsi:type="dcterms:W3CDTF">2023-05-28T16:27:13Z</dcterms:modified>
</cp:coreProperties>
</file>