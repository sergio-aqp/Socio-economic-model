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ESIS SCRIPTING\R\INPUT DATA\FILTERED\BUILDINGCOSTS\"/>
    </mc:Choice>
  </mc:AlternateContent>
  <xr:revisionPtr revIDLastSave="0" documentId="13_ncr:1_{6FDCF6BF-C04C-4335-92C7-2DAF58B4764B}" xr6:coauthVersionLast="47" xr6:coauthVersionMax="47" xr10:uidLastSave="{00000000-0000-0000-0000-000000000000}"/>
  <bookViews>
    <workbookView xWindow="-120" yWindow="-120" windowWidth="29040" windowHeight="17640" activeTab="2" xr2:uid="{4B364409-EF1B-416F-B299-171DDDDD8FFC}"/>
  </bookViews>
  <sheets>
    <sheet name="Cardenas_vanesa" sheetId="2" r:id="rId1"/>
    <sheet name="Unitarios2009" sheetId="6" r:id="rId2"/>
    <sheet name="mis_parties_CV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3" i="5" l="1"/>
  <c r="S62" i="5"/>
  <c r="S61" i="5"/>
  <c r="S60" i="5"/>
  <c r="S59" i="5"/>
  <c r="S58" i="5"/>
  <c r="Z24" i="5"/>
  <c r="Z34" i="5"/>
  <c r="Z44" i="5"/>
  <c r="Z54" i="5"/>
  <c r="S44" i="5"/>
  <c r="S34" i="5"/>
  <c r="S24" i="5"/>
  <c r="S57" i="5"/>
  <c r="W18" i="5"/>
  <c r="Y18" i="5" s="1"/>
  <c r="X20" i="5"/>
  <c r="W20" i="5"/>
  <c r="Y20" i="5" s="1"/>
  <c r="X19" i="5"/>
  <c r="W19" i="5"/>
  <c r="Y19" i="5" s="1"/>
  <c r="X18" i="5"/>
  <c r="X17" i="5"/>
  <c r="Y17" i="5" s="1"/>
  <c r="R23" i="5"/>
  <c r="P18" i="5"/>
  <c r="R18" i="5" s="1"/>
  <c r="Q16" i="5"/>
  <c r="Q17" i="5"/>
  <c r="Q18" i="5"/>
  <c r="Q19" i="5"/>
  <c r="Q20" i="5"/>
  <c r="P20" i="5"/>
  <c r="R20" i="5" s="1"/>
  <c r="R19" i="5"/>
  <c r="P19" i="5"/>
  <c r="R17" i="5"/>
  <c r="R16" i="5"/>
  <c r="P16" i="5"/>
  <c r="G9" i="6"/>
  <c r="H9" i="6" s="1"/>
  <c r="G93" i="5" s="1"/>
  <c r="G94" i="5" s="1"/>
  <c r="F9" i="6"/>
  <c r="Y21" i="5" l="1"/>
  <c r="Y22" i="5" s="1"/>
  <c r="Y23" i="5" s="1"/>
  <c r="R21" i="5"/>
  <c r="R22" i="5" s="1"/>
  <c r="Y53" i="5"/>
  <c r="W48" i="5"/>
  <c r="X50" i="5"/>
  <c r="Y50" i="5" s="1"/>
  <c r="W50" i="5"/>
  <c r="X49" i="5"/>
  <c r="W49" i="5"/>
  <c r="Y49" i="5" s="1"/>
  <c r="X48" i="5"/>
  <c r="Y48" i="5"/>
  <c r="Y47" i="5"/>
  <c r="X47" i="5"/>
  <c r="Y43" i="5"/>
  <c r="W38" i="5"/>
  <c r="Y38" i="5" s="1"/>
  <c r="Y40" i="5"/>
  <c r="X40" i="5"/>
  <c r="W40" i="5"/>
  <c r="X39" i="5"/>
  <c r="W39" i="5"/>
  <c r="Y39" i="5" s="1"/>
  <c r="X38" i="5"/>
  <c r="X37" i="5"/>
  <c r="Y37" i="5" s="1"/>
  <c r="Y34" i="5"/>
  <c r="Y32" i="5"/>
  <c r="Y31" i="5"/>
  <c r="R52" i="5"/>
  <c r="R42" i="5"/>
  <c r="R43" i="5" s="1"/>
  <c r="R32" i="5"/>
  <c r="R33" i="5" s="1"/>
  <c r="Y28" i="5"/>
  <c r="Y29" i="5"/>
  <c r="Y30" i="5"/>
  <c r="Y27" i="5"/>
  <c r="W30" i="5"/>
  <c r="W29" i="5"/>
  <c r="W28" i="5"/>
  <c r="X27" i="5"/>
  <c r="X28" i="5"/>
  <c r="X29" i="5"/>
  <c r="X30" i="5"/>
  <c r="P48" i="5"/>
  <c r="Q50" i="5"/>
  <c r="P50" i="5"/>
  <c r="R50" i="5" s="1"/>
  <c r="R49" i="5"/>
  <c r="Q49" i="5"/>
  <c r="P49" i="5"/>
  <c r="Q48" i="5"/>
  <c r="R48" i="5"/>
  <c r="Q47" i="5"/>
  <c r="R47" i="5" s="1"/>
  <c r="R46" i="5"/>
  <c r="Q46" i="5"/>
  <c r="P46" i="5"/>
  <c r="R41" i="5"/>
  <c r="P38" i="5"/>
  <c r="Q36" i="5"/>
  <c r="R36" i="5" s="1"/>
  <c r="Q37" i="5"/>
  <c r="Q38" i="5"/>
  <c r="Q39" i="5"/>
  <c r="Q40" i="5"/>
  <c r="R40" i="5" s="1"/>
  <c r="R37" i="5"/>
  <c r="R38" i="5"/>
  <c r="R39" i="5"/>
  <c r="P40" i="5"/>
  <c r="P39" i="5"/>
  <c r="P36" i="5"/>
  <c r="P28" i="5"/>
  <c r="Q30" i="5"/>
  <c r="R30" i="5" s="1"/>
  <c r="P30" i="5"/>
  <c r="P29" i="5"/>
  <c r="P26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5" i="5"/>
  <c r="F26" i="5"/>
  <c r="F28" i="5"/>
  <c r="G27" i="5" s="1"/>
  <c r="I27" i="5" s="1"/>
  <c r="Q26" i="5" s="1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4" i="5"/>
  <c r="F45" i="5"/>
  <c r="G43" i="5" s="1"/>
  <c r="I43" i="5" s="1"/>
  <c r="Q28" i="5" s="1"/>
  <c r="R28" i="5" s="1"/>
  <c r="R31" i="5" s="1"/>
  <c r="F46" i="5"/>
  <c r="F47" i="5"/>
  <c r="F48" i="5"/>
  <c r="F49" i="5"/>
  <c r="F50" i="5"/>
  <c r="F51" i="5"/>
  <c r="F52" i="5"/>
  <c r="F53" i="5"/>
  <c r="F54" i="5"/>
  <c r="F55" i="5"/>
  <c r="F56" i="5"/>
  <c r="F57" i="5"/>
  <c r="F59" i="5"/>
  <c r="F60" i="5"/>
  <c r="F61" i="5"/>
  <c r="F62" i="5"/>
  <c r="F63" i="5"/>
  <c r="F64" i="5"/>
  <c r="F65" i="5"/>
  <c r="F66" i="5"/>
  <c r="F67" i="5"/>
  <c r="F68" i="5"/>
  <c r="F69" i="5"/>
  <c r="F71" i="5"/>
  <c r="G70" i="5" s="1"/>
  <c r="F72" i="5"/>
  <c r="F74" i="5"/>
  <c r="F75" i="5"/>
  <c r="F76" i="5"/>
  <c r="F77" i="5"/>
  <c r="F78" i="5"/>
  <c r="F79" i="5"/>
  <c r="F80" i="5"/>
  <c r="F81" i="5"/>
  <c r="F82" i="5"/>
  <c r="F83" i="5"/>
  <c r="F84" i="5"/>
  <c r="F86" i="5"/>
  <c r="F87" i="5"/>
  <c r="G85" i="5" s="1"/>
  <c r="F88" i="5"/>
  <c r="F89" i="5"/>
  <c r="F90" i="5"/>
  <c r="F91" i="5"/>
  <c r="F5" i="5"/>
  <c r="Y24" i="5" l="1"/>
  <c r="R24" i="5"/>
  <c r="Y51" i="5"/>
  <c r="Y52" i="5" s="1"/>
  <c r="Y41" i="5"/>
  <c r="Y42" i="5" s="1"/>
  <c r="Y44" i="5"/>
  <c r="Y33" i="5"/>
  <c r="R44" i="5"/>
  <c r="R34" i="5"/>
  <c r="R51" i="5"/>
  <c r="I70" i="5"/>
  <c r="R26" i="5"/>
  <c r="I85" i="5"/>
  <c r="G58" i="5"/>
  <c r="G24" i="5"/>
  <c r="G73" i="5"/>
  <c r="G4" i="5"/>
  <c r="G92" i="5" s="1"/>
  <c r="Y54" i="5" l="1"/>
  <c r="R53" i="5"/>
  <c r="H70" i="5"/>
  <c r="H43" i="5"/>
  <c r="H27" i="5"/>
  <c r="H85" i="5"/>
  <c r="I58" i="5"/>
  <c r="Q29" i="5" s="1"/>
  <c r="R29" i="5" s="1"/>
  <c r="H58" i="5"/>
  <c r="I24" i="5"/>
  <c r="Q27" i="5" s="1"/>
  <c r="R27" i="5" s="1"/>
  <c r="H24" i="5"/>
  <c r="H73" i="5"/>
  <c r="I73" i="5"/>
  <c r="I4" i="5"/>
  <c r="H4" i="5"/>
  <c r="R54" i="5" l="1"/>
</calcChain>
</file>

<file path=xl/sharedStrings.xml><?xml version="1.0" encoding="utf-8"?>
<sst xmlns="http://schemas.openxmlformats.org/spreadsheetml/2006/main" count="572" uniqueCount="309">
  <si>
    <r>
      <rPr>
        <b/>
        <sz val="7"/>
        <rFont val="Arial"/>
        <family val="2"/>
      </rPr>
      <t>Cliente</t>
    </r>
  </si>
  <si>
    <r>
      <rPr>
        <b/>
        <sz val="7"/>
        <rFont val="Arial"/>
        <family val="2"/>
      </rPr>
      <t>XXX</t>
    </r>
  </si>
  <si>
    <r>
      <rPr>
        <b/>
        <sz val="7"/>
        <rFont val="Arial"/>
        <family val="2"/>
      </rPr>
      <t>Costo al</t>
    </r>
  </si>
  <si>
    <r>
      <rPr>
        <b/>
        <sz val="7"/>
        <rFont val="Arial"/>
        <family val="2"/>
      </rPr>
      <t>Item</t>
    </r>
  </si>
  <si>
    <r>
      <rPr>
        <b/>
        <sz val="7"/>
        <rFont val="Arial"/>
        <family val="2"/>
      </rPr>
      <t>Descripción</t>
    </r>
  </si>
  <si>
    <r>
      <rPr>
        <b/>
        <sz val="7"/>
        <rFont val="Arial"/>
        <family val="2"/>
      </rPr>
      <t>Und.</t>
    </r>
  </si>
  <si>
    <r>
      <rPr>
        <b/>
        <sz val="7"/>
        <rFont val="Arial"/>
        <family val="2"/>
      </rPr>
      <t>Metrado</t>
    </r>
  </si>
  <si>
    <r>
      <rPr>
        <b/>
        <sz val="7"/>
        <rFont val="Arial"/>
        <family val="2"/>
      </rPr>
      <t>Precio S/.</t>
    </r>
  </si>
  <si>
    <r>
      <rPr>
        <b/>
        <sz val="7"/>
        <rFont val="Arial"/>
        <family val="2"/>
      </rPr>
      <t>Parcial S/.</t>
    </r>
  </si>
  <si>
    <r>
      <rPr>
        <b/>
        <sz val="7"/>
        <rFont val="Arial"/>
        <family val="2"/>
      </rPr>
      <t>ESTRUCTURA</t>
    </r>
  </si>
  <si>
    <r>
      <rPr>
        <b/>
        <sz val="7"/>
        <rFont val="Arial"/>
        <family val="2"/>
      </rPr>
      <t>TRABAJOS COMPLEMENTARIOS</t>
    </r>
  </si>
  <si>
    <r>
      <rPr>
        <sz val="7"/>
        <rFont val="Arial"/>
        <family val="2"/>
      </rPr>
      <t>CASETA DE GUARDIANIA Y ALMACEN</t>
    </r>
  </si>
  <si>
    <r>
      <rPr>
        <sz val="7"/>
        <rFont val="Arial"/>
        <family val="2"/>
      </rPr>
      <t>GLB</t>
    </r>
  </si>
  <si>
    <r>
      <rPr>
        <b/>
        <sz val="7"/>
        <rFont val="Arial"/>
        <family val="2"/>
      </rPr>
      <t>OBRAS PROVISIONALES</t>
    </r>
  </si>
  <si>
    <r>
      <rPr>
        <sz val="7"/>
        <rFont val="Arial"/>
        <family val="2"/>
      </rPr>
      <t>LIMPIEZA DE TERRENO MANUAL</t>
    </r>
  </si>
  <si>
    <r>
      <rPr>
        <sz val="7"/>
        <rFont val="Arial"/>
        <family val="2"/>
      </rPr>
      <t>m2</t>
    </r>
  </si>
  <si>
    <r>
      <rPr>
        <sz val="7"/>
        <rFont val="Arial"/>
        <family val="2"/>
      </rPr>
      <t>TRAZO Y REPLANTEO</t>
    </r>
  </si>
  <si>
    <r>
      <rPr>
        <sz val="7"/>
        <rFont val="Arial"/>
        <family val="2"/>
      </rPr>
      <t>TRAZO DE NIVELES Y REPLANTEO DURANTE EL PROCESO</t>
    </r>
  </si>
  <si>
    <r>
      <rPr>
        <b/>
        <sz val="7"/>
        <rFont val="Arial"/>
        <family val="2"/>
      </rPr>
      <t>MOVIMIENTO DE TIERRAS</t>
    </r>
  </si>
  <si>
    <r>
      <rPr>
        <sz val="7"/>
        <rFont val="Arial"/>
        <family val="2"/>
      </rPr>
      <t>EXCAVACION DE ZANJAS PARA CIMIENTOS</t>
    </r>
  </si>
  <si>
    <r>
      <rPr>
        <sz val="7"/>
        <rFont val="Arial"/>
        <family val="2"/>
      </rPr>
      <t>m3</t>
    </r>
  </si>
  <si>
    <r>
      <rPr>
        <sz val="7"/>
        <rFont val="Arial"/>
        <family val="2"/>
      </rPr>
      <t>NIVELACION INTERIOR Y COMPACTACION</t>
    </r>
  </si>
  <si>
    <r>
      <rPr>
        <sz val="7"/>
        <rFont val="Arial"/>
        <family val="2"/>
      </rPr>
      <t>RELLENO MANUAL CON MATERIAL DE PRESTAMO</t>
    </r>
  </si>
  <si>
    <r>
      <rPr>
        <sz val="7"/>
        <rFont val="Arial"/>
        <family val="2"/>
      </rPr>
      <t>ELIMINACION MATERIAL EXCEDENTE</t>
    </r>
  </si>
  <si>
    <r>
      <rPr>
        <sz val="7"/>
        <rFont val="Arial"/>
        <family val="2"/>
      </rPr>
      <t>RELLENO  COMPACTADO EN LOTES CON MATERIAL PROPIO</t>
    </r>
  </si>
  <si>
    <r>
      <rPr>
        <b/>
        <sz val="7"/>
        <rFont val="Arial"/>
        <family val="2"/>
      </rPr>
      <t>OBRAS DE CONCRETO SIMPLE</t>
    </r>
  </si>
  <si>
    <r>
      <rPr>
        <sz val="7"/>
        <rFont val="Arial"/>
        <family val="2"/>
      </rPr>
      <t>CIMIENTOS CORRIDOS</t>
    </r>
  </si>
  <si>
    <r>
      <rPr>
        <sz val="7"/>
        <rFont val="Arial"/>
        <family val="2"/>
      </rPr>
      <t>CONCRETO  PARA SOBRECIMIENTOS</t>
    </r>
  </si>
  <si>
    <r>
      <rPr>
        <sz val="7"/>
        <rFont val="Arial"/>
        <family val="2"/>
      </rPr>
      <t>ENCOFRADO Y DESENCOFRADO  EN SOBRECINIENTOS</t>
    </r>
  </si>
  <si>
    <r>
      <rPr>
        <sz val="7"/>
        <rFont val="Arial"/>
        <family val="2"/>
      </rPr>
      <t>CONCRETO EN FALSOPISO</t>
    </r>
  </si>
  <si>
    <r>
      <rPr>
        <b/>
        <sz val="7"/>
        <rFont val="Arial"/>
        <family val="2"/>
      </rPr>
      <t>OBRAS DE CONCRETO ARMADO</t>
    </r>
  </si>
  <si>
    <r>
      <rPr>
        <b/>
        <sz val="7"/>
        <rFont val="Arial"/>
        <family val="2"/>
      </rPr>
      <t>SOBRECIMINETOS REFORZADOS</t>
    </r>
  </si>
  <si>
    <r>
      <rPr>
        <sz val="7"/>
        <rFont val="Arial"/>
        <family val="2"/>
      </rPr>
      <t>01.05.01.01</t>
    </r>
  </si>
  <si>
    <r>
      <rPr>
        <sz val="7"/>
        <rFont val="Arial"/>
        <family val="2"/>
      </rPr>
      <t>CONCRETO EN SOBRECIMIENTO REFORZADO</t>
    </r>
  </si>
  <si>
    <r>
      <rPr>
        <sz val="7"/>
        <rFont val="Arial"/>
        <family val="2"/>
      </rPr>
      <t>01.05.01.02</t>
    </r>
  </si>
  <si>
    <r>
      <rPr>
        <sz val="7"/>
        <rFont val="Arial"/>
        <family val="2"/>
      </rPr>
      <t xml:space="preserve">ENCOFRADO Y DESENCOFRADO EN SOBRECIMIENTO
</t>
    </r>
    <r>
      <rPr>
        <sz val="7"/>
        <rFont val="Arial"/>
        <family val="2"/>
      </rPr>
      <t>REFORZADO</t>
    </r>
  </si>
  <si>
    <r>
      <rPr>
        <sz val="7"/>
        <rFont val="Arial"/>
        <family val="2"/>
      </rPr>
      <t>01.05.01.03</t>
    </r>
  </si>
  <si>
    <r>
      <rPr>
        <sz val="7"/>
        <rFont val="Arial"/>
        <family val="2"/>
      </rPr>
      <t>ACERO ESTRUCTURAL  PARA SOBRE CIMIENTO REFORZADO</t>
    </r>
  </si>
  <si>
    <r>
      <rPr>
        <sz val="7"/>
        <rFont val="Arial"/>
        <family val="2"/>
      </rPr>
      <t>kg</t>
    </r>
  </si>
  <si>
    <r>
      <rPr>
        <b/>
        <sz val="7"/>
        <rFont val="Arial"/>
        <family val="2"/>
      </rPr>
      <t>COLUMNAS</t>
    </r>
  </si>
  <si>
    <r>
      <rPr>
        <sz val="7"/>
        <rFont val="Arial"/>
        <family val="2"/>
      </rPr>
      <t>01.05.02.01</t>
    </r>
  </si>
  <si>
    <r>
      <rPr>
        <sz val="7"/>
        <rFont val="Arial"/>
        <family val="2"/>
      </rPr>
      <t>CONCRETO EN COLUMNAS</t>
    </r>
  </si>
  <si>
    <r>
      <rPr>
        <sz val="7"/>
        <rFont val="Arial"/>
        <family val="2"/>
      </rPr>
      <t>01.05.02.02</t>
    </r>
  </si>
  <si>
    <r>
      <rPr>
        <sz val="7"/>
        <rFont val="Arial"/>
        <family val="2"/>
      </rPr>
      <t>ENCOFRADO Y DESENCOFRADO EN COLUMNAS</t>
    </r>
  </si>
  <si>
    <r>
      <rPr>
        <sz val="7"/>
        <rFont val="Arial"/>
        <family val="2"/>
      </rPr>
      <t>01.05.02.03</t>
    </r>
  </si>
  <si>
    <r>
      <rPr>
        <sz val="7"/>
        <rFont val="Arial"/>
        <family val="2"/>
      </rPr>
      <t>ACERO ESTRUCTURAL  PARA COLUMNAS</t>
    </r>
  </si>
  <si>
    <r>
      <rPr>
        <b/>
        <sz val="7"/>
        <rFont val="Arial"/>
        <family val="2"/>
      </rPr>
      <t>VIGAS</t>
    </r>
  </si>
  <si>
    <r>
      <rPr>
        <sz val="7"/>
        <rFont val="Arial"/>
        <family val="2"/>
      </rPr>
      <t>01.05.03.01</t>
    </r>
  </si>
  <si>
    <r>
      <rPr>
        <sz val="7"/>
        <rFont val="Arial"/>
        <family val="2"/>
      </rPr>
      <t>CONCRETO EN VIGAS</t>
    </r>
  </si>
  <si>
    <r>
      <rPr>
        <sz val="7"/>
        <rFont val="Arial"/>
        <family val="2"/>
      </rPr>
      <t>01.05.03.02</t>
    </r>
  </si>
  <si>
    <r>
      <rPr>
        <sz val="7"/>
        <rFont val="Arial"/>
        <family val="2"/>
      </rPr>
      <t>ENCOFRADO Y DESENCOFRADO EN VIGAS</t>
    </r>
  </si>
  <si>
    <r>
      <rPr>
        <sz val="7"/>
        <rFont val="Arial"/>
        <family val="2"/>
      </rPr>
      <t>01.05.03.03</t>
    </r>
  </si>
  <si>
    <r>
      <rPr>
        <sz val="7"/>
        <rFont val="Arial"/>
        <family val="2"/>
      </rPr>
      <t>ACERO ESTRUCTURAL PARA VIGAS</t>
    </r>
  </si>
  <si>
    <r>
      <rPr>
        <b/>
        <sz val="7"/>
        <rFont val="Arial"/>
        <family val="2"/>
      </rPr>
      <t>LOSAS ALIGERADAS</t>
    </r>
  </si>
  <si>
    <r>
      <rPr>
        <sz val="7"/>
        <rFont val="Arial"/>
        <family val="2"/>
      </rPr>
      <t>01.05.04.01</t>
    </r>
  </si>
  <si>
    <r>
      <rPr>
        <sz val="7"/>
        <rFont val="Arial"/>
        <family val="2"/>
      </rPr>
      <t>CONCRETO EN LOSAS ALIGARADAS</t>
    </r>
  </si>
  <si>
    <r>
      <rPr>
        <sz val="7"/>
        <rFont val="Arial"/>
        <family val="2"/>
      </rPr>
      <t>01.05.04.02</t>
    </r>
  </si>
  <si>
    <r>
      <rPr>
        <sz val="7"/>
        <rFont val="Arial"/>
        <family val="2"/>
      </rPr>
      <t>ENCOFRADO Y DESENCOFRADO EN LOSAS ALIGERADSA</t>
    </r>
  </si>
  <si>
    <r>
      <rPr>
        <sz val="7"/>
        <rFont val="Arial"/>
        <family val="2"/>
      </rPr>
      <t>01.05.04.03</t>
    </r>
  </si>
  <si>
    <r>
      <rPr>
        <sz val="7"/>
        <rFont val="Arial"/>
        <family val="2"/>
      </rPr>
      <t>ACERO ESTRUCTURAL  PARA LOSAS ALIGERADAS</t>
    </r>
  </si>
  <si>
    <r>
      <rPr>
        <sz val="7"/>
        <rFont val="Arial"/>
        <family val="2"/>
      </rPr>
      <t>01.05.04.04</t>
    </r>
  </si>
  <si>
    <r>
      <rPr>
        <sz val="7"/>
        <rFont val="Arial"/>
        <family val="2"/>
      </rPr>
      <t>LADRILLO HUECO DE ARCILLA PARA TECHO ALIGERADO</t>
    </r>
  </si>
  <si>
    <r>
      <rPr>
        <sz val="7"/>
        <rFont val="Arial"/>
        <family val="2"/>
      </rPr>
      <t>und</t>
    </r>
  </si>
  <si>
    <r>
      <rPr>
        <b/>
        <sz val="7"/>
        <rFont val="Arial"/>
        <family val="2"/>
      </rPr>
      <t>MUROS</t>
    </r>
  </si>
  <si>
    <r>
      <rPr>
        <sz val="7"/>
        <rFont val="Arial"/>
        <family val="2"/>
      </rPr>
      <t>MUROS DE LADRILLO KK  DE SOGA</t>
    </r>
  </si>
  <si>
    <r>
      <rPr>
        <b/>
        <sz val="7"/>
        <rFont val="Arial"/>
        <family val="2"/>
      </rPr>
      <t>ARQUITECTURA</t>
    </r>
  </si>
  <si>
    <r>
      <rPr>
        <b/>
        <sz val="7"/>
        <rFont val="Arial"/>
        <family val="2"/>
      </rPr>
      <t>REVOQUES ENLUCIDOS Y MOLDURAS</t>
    </r>
  </si>
  <si>
    <r>
      <rPr>
        <sz val="7"/>
        <rFont val="Arial"/>
        <family val="2"/>
      </rPr>
      <t>TARRAJEO EN INTERIORES</t>
    </r>
  </si>
  <si>
    <r>
      <rPr>
        <sz val="7"/>
        <rFont val="Arial"/>
        <family val="2"/>
      </rPr>
      <t>TARRAJEO EN EXTERIORES</t>
    </r>
  </si>
  <si>
    <r>
      <rPr>
        <sz val="7"/>
        <rFont val="Arial"/>
        <family val="2"/>
      </rPr>
      <t>VESTIDURA DE DERRAMES EN PUERTAS, VENTANAS Y VANOS</t>
    </r>
  </si>
  <si>
    <r>
      <rPr>
        <sz val="7"/>
        <rFont val="Arial"/>
        <family val="2"/>
      </rPr>
      <t>ML</t>
    </r>
  </si>
  <si>
    <r>
      <rPr>
        <sz val="7"/>
        <rFont val="Arial"/>
        <family val="2"/>
      </rPr>
      <t>TARRAJEO  LAVADERO DE COCINA</t>
    </r>
  </si>
  <si>
    <r>
      <rPr>
        <sz val="7"/>
        <rFont val="Arial"/>
        <family val="2"/>
      </rPr>
      <t>PARED CERAMICO NACIONAL</t>
    </r>
  </si>
  <si>
    <r>
      <rPr>
        <b/>
        <sz val="7"/>
        <rFont val="Arial"/>
        <family val="2"/>
      </rPr>
      <t>CIELORRASOS</t>
    </r>
  </si>
  <si>
    <r>
      <rPr>
        <sz val="7"/>
        <rFont val="Arial"/>
        <family val="2"/>
      </rPr>
      <t>CIELORRASOS</t>
    </r>
  </si>
  <si>
    <r>
      <rPr>
        <b/>
        <sz val="7"/>
        <rFont val="Arial"/>
        <family val="2"/>
      </rPr>
      <t>PISOS Y PAVIMENTOS</t>
    </r>
  </si>
  <si>
    <r>
      <rPr>
        <sz val="7"/>
        <rFont val="Arial"/>
        <family val="2"/>
      </rPr>
      <t>PISOS DE CONCRETO COLOREADO FROTACHADO</t>
    </r>
  </si>
  <si>
    <r>
      <rPr>
        <sz val="7"/>
        <rFont val="Arial"/>
        <family val="2"/>
      </rPr>
      <t>PISO DE LOSETA VENECIANA DE COLOR CLARO</t>
    </r>
  </si>
  <si>
    <r>
      <rPr>
        <sz val="7"/>
        <rFont val="Arial"/>
        <family val="2"/>
      </rPr>
      <t>MAYOLICA LAVADERO COCINA</t>
    </r>
  </si>
  <si>
    <r>
      <rPr>
        <b/>
        <sz val="7"/>
        <rFont val="Arial"/>
        <family val="2"/>
      </rPr>
      <t>CONTRAZOCALOS</t>
    </r>
  </si>
  <si>
    <r>
      <rPr>
        <sz val="7"/>
        <rFont val="Arial"/>
        <family val="2"/>
      </rPr>
      <t>CONTRAZOCALO CEMENTO</t>
    </r>
  </si>
  <si>
    <r>
      <rPr>
        <sz val="7"/>
        <rFont val="Arial"/>
        <family val="2"/>
      </rPr>
      <t>ml</t>
    </r>
  </si>
  <si>
    <r>
      <rPr>
        <b/>
        <sz val="7"/>
        <rFont val="Arial"/>
        <family val="2"/>
      </rPr>
      <t>CARPINTERIA DE MADERA</t>
    </r>
  </si>
  <si>
    <r>
      <rPr>
        <sz val="7"/>
        <rFont val="Arial"/>
        <family val="2"/>
      </rPr>
      <t>PUERTAS DE MADERA CON MARCO</t>
    </r>
  </si>
  <si>
    <r>
      <rPr>
        <sz val="7"/>
        <rFont val="Arial"/>
        <family val="2"/>
      </rPr>
      <t>PUERTA CONTRAPLACADA CON MARCO</t>
    </r>
  </si>
  <si>
    <r>
      <rPr>
        <b/>
        <sz val="7"/>
        <rFont val="Arial"/>
        <family val="2"/>
      </rPr>
      <t>CERRAJERIA</t>
    </r>
  </si>
  <si>
    <r>
      <rPr>
        <sz val="7"/>
        <rFont val="Arial"/>
        <family val="2"/>
      </rPr>
      <t>BISAGRA ALUMINIZADA</t>
    </r>
  </si>
  <si>
    <r>
      <rPr>
        <sz val="7"/>
        <rFont val="Arial"/>
        <family val="2"/>
      </rPr>
      <t>pza</t>
    </r>
  </si>
  <si>
    <r>
      <rPr>
        <sz val="7"/>
        <rFont val="Arial"/>
        <family val="2"/>
      </rPr>
      <t>CERRADURA PARA PUERTA PRINCIPAL PESADA</t>
    </r>
  </si>
  <si>
    <r>
      <rPr>
        <sz val="7"/>
        <rFont val="Arial"/>
        <family val="2"/>
      </rPr>
      <t>CERRADURA PTA.BAÑO</t>
    </r>
  </si>
  <si>
    <r>
      <rPr>
        <b/>
        <sz val="7"/>
        <rFont val="Arial"/>
        <family val="2"/>
      </rPr>
      <t>VIDRIOS, CRISTALES Y SIMILARES</t>
    </r>
  </si>
  <si>
    <r>
      <rPr>
        <sz val="7"/>
        <rFont val="Arial"/>
        <family val="2"/>
      </rPr>
      <t>VIDRIO 2 DOBLE SISTEMA MODULAR EN 4MM</t>
    </r>
  </si>
  <si>
    <r>
      <rPr>
        <sz val="7"/>
        <rFont val="Arial"/>
        <family val="2"/>
      </rPr>
      <t>VIDRIO DOBLE  SISTEMA MODULAR EN 4MM</t>
    </r>
  </si>
  <si>
    <r>
      <rPr>
        <b/>
        <sz val="7"/>
        <rFont val="Arial"/>
        <family val="2"/>
      </rPr>
      <t>PINTURA</t>
    </r>
  </si>
  <si>
    <r>
      <rPr>
        <sz val="7"/>
        <rFont val="Arial"/>
        <family val="2"/>
      </rPr>
      <t>PINTURA VINILICA EN CIELO RASO</t>
    </r>
  </si>
  <si>
    <r>
      <rPr>
        <sz val="7"/>
        <rFont val="Arial"/>
        <family val="2"/>
      </rPr>
      <t>PINTURA VINILICA EN MUROS EXTERIORES 2</t>
    </r>
  </si>
  <si>
    <r>
      <rPr>
        <sz val="7"/>
        <rFont val="Arial"/>
        <family val="2"/>
      </rPr>
      <t>PINTURA VINILICA EN MUROS INTERIORES</t>
    </r>
  </si>
  <si>
    <r>
      <rPr>
        <b/>
        <sz val="7"/>
        <rFont val="Arial"/>
        <family val="2"/>
      </rPr>
      <t>CUBIERTAS</t>
    </r>
  </si>
  <si>
    <r>
      <rPr>
        <sz val="7"/>
        <rFont val="Arial"/>
        <family val="2"/>
      </rPr>
      <t>COBERTURA DE TECHO</t>
    </r>
  </si>
  <si>
    <r>
      <rPr>
        <b/>
        <sz val="7"/>
        <rFont val="Arial"/>
        <family val="2"/>
      </rPr>
      <t>VARIOS</t>
    </r>
  </si>
  <si>
    <r>
      <rPr>
        <sz val="7"/>
        <rFont val="Arial"/>
        <family val="2"/>
      </rPr>
      <t>LIMPIEZA GENERAL DE OBRA</t>
    </r>
  </si>
  <si>
    <r>
      <rPr>
        <b/>
        <sz val="7"/>
        <rFont val="Arial"/>
        <family val="2"/>
      </rPr>
      <t>INSTALACIONES SANITARIAS</t>
    </r>
  </si>
  <si>
    <r>
      <rPr>
        <b/>
        <sz val="7"/>
        <rFont val="Arial"/>
        <family val="2"/>
      </rPr>
      <t>APARATOS Y ACCESORIOS SANITARIOS</t>
    </r>
  </si>
  <si>
    <r>
      <rPr>
        <sz val="7"/>
        <rFont val="Arial"/>
        <family val="2"/>
      </rPr>
      <t>INODORO TANQUE BAJO</t>
    </r>
  </si>
  <si>
    <r>
      <rPr>
        <sz val="7"/>
        <rFont val="Arial"/>
        <family val="2"/>
      </rPr>
      <t>LAVATORIO DE PARED</t>
    </r>
  </si>
  <si>
    <r>
      <rPr>
        <sz val="7"/>
        <rFont val="Arial"/>
        <family val="2"/>
      </rPr>
      <t>LAVADERO DE COCINA DE ACERO INOXIDABLE</t>
    </r>
  </si>
  <si>
    <r>
      <rPr>
        <sz val="7"/>
        <rFont val="Arial"/>
        <family val="2"/>
      </rPr>
      <t>DUCHA CROMADA  INCL.ACCESORIOS</t>
    </r>
  </si>
  <si>
    <r>
      <rPr>
        <b/>
        <sz val="7"/>
        <rFont val="Arial"/>
        <family val="2"/>
      </rPr>
      <t>SISTEMA DE DESAGUE</t>
    </r>
  </si>
  <si>
    <r>
      <rPr>
        <sz val="7"/>
        <rFont val="Arial"/>
        <family val="2"/>
      </rPr>
      <t>SALIDAS DE PVC SAL PARA DESAGUE DE 2"</t>
    </r>
  </si>
  <si>
    <r>
      <rPr>
        <sz val="7"/>
        <rFont val="Arial"/>
        <family val="2"/>
      </rPr>
      <t>pto</t>
    </r>
  </si>
  <si>
    <r>
      <rPr>
        <sz val="7"/>
        <rFont val="Arial"/>
        <family val="2"/>
      </rPr>
      <t>SALIDAS DE PVC SAL PARA DESAGUE DE 4"</t>
    </r>
  </si>
  <si>
    <r>
      <rPr>
        <sz val="7"/>
        <rFont val="Arial"/>
        <family val="2"/>
      </rPr>
      <t>SALIDAS DE PVC SAL PARA VENTILACION DE 2"</t>
    </r>
  </si>
  <si>
    <r>
      <rPr>
        <sz val="7"/>
        <rFont val="Arial"/>
        <family val="2"/>
      </rPr>
      <t>SALIDAS DE PVC SAL PARA AGUAS PLUVIALES DE 3"</t>
    </r>
  </si>
  <si>
    <r>
      <rPr>
        <sz val="7"/>
        <rFont val="Arial"/>
        <family val="2"/>
      </rPr>
      <t>TUBERIA DE PVC SAL 4"</t>
    </r>
  </si>
  <si>
    <r>
      <rPr>
        <sz val="7"/>
        <rFont val="Arial"/>
        <family val="2"/>
      </rPr>
      <t>m</t>
    </r>
  </si>
  <si>
    <r>
      <rPr>
        <sz val="7"/>
        <rFont val="Arial"/>
        <family val="2"/>
      </rPr>
      <t>TUBERIA DE PVC SAL 2"</t>
    </r>
  </si>
  <si>
    <r>
      <rPr>
        <sz val="7"/>
        <rFont val="Arial"/>
        <family val="2"/>
      </rPr>
      <t>REGISTRO DE BRONCE 2", PROVISION Y COLOCACION</t>
    </r>
  </si>
  <si>
    <r>
      <rPr>
        <sz val="7"/>
        <rFont val="Arial"/>
        <family val="2"/>
      </rPr>
      <t>REGISTRO DE BRONCE 4", PROVICION Y COLOCACIÓN</t>
    </r>
  </si>
  <si>
    <r>
      <rPr>
        <sz val="7"/>
        <rFont val="Arial"/>
        <family val="2"/>
      </rPr>
      <t>SUMIDERO DE BRONCE 2", PROVISION Y COLOCACION</t>
    </r>
  </si>
  <si>
    <r>
      <rPr>
        <sz val="7"/>
        <rFont val="Arial"/>
        <family val="2"/>
      </rPr>
      <t>SOMBRERO VENTILACION PVC DE 2"</t>
    </r>
  </si>
  <si>
    <r>
      <rPr>
        <sz val="7"/>
        <rFont val="Arial"/>
        <family val="2"/>
      </rPr>
      <t>CAJA DE REG. ALB. 12" X 24" C/TAPA CONCRETO</t>
    </r>
  </si>
  <si>
    <r>
      <rPr>
        <b/>
        <sz val="7"/>
        <rFont val="Arial"/>
        <family val="2"/>
      </rPr>
      <t>SISTEMA DE AGUA FRIA Y CONTRA INCENDIO</t>
    </r>
  </si>
  <si>
    <r>
      <rPr>
        <sz val="7"/>
        <rFont val="Arial"/>
        <family val="2"/>
      </rPr>
      <t>SALIDA DE AGUA FRIA CON TUBERIA DE PVC-SAP 1/2"</t>
    </r>
  </si>
  <si>
    <r>
      <rPr>
        <b/>
        <sz val="7"/>
        <rFont val="Arial"/>
        <family val="2"/>
      </rPr>
      <t xml:space="preserve">Precio
</t>
    </r>
    <r>
      <rPr>
        <b/>
        <sz val="7"/>
        <rFont val="Arial"/>
        <family val="2"/>
      </rPr>
      <t>S/.</t>
    </r>
  </si>
  <si>
    <r>
      <rPr>
        <sz val="7"/>
        <rFont val="Arial"/>
        <family val="2"/>
      </rPr>
      <t>RED DE DISTRIBUCION TUBERIA DE 1/2" PVC-SAP</t>
    </r>
  </si>
  <si>
    <r>
      <rPr>
        <sz val="7"/>
        <rFont val="Arial"/>
        <family val="2"/>
      </rPr>
      <t>VALVULAS DE COMPUERTA DE BRONCE DE 1/2"</t>
    </r>
  </si>
  <si>
    <r>
      <rPr>
        <sz val="7"/>
        <rFont val="Arial"/>
        <family val="2"/>
      </rPr>
      <t>LLAVE DE RIEGO CON GRIFO DE 1/2"</t>
    </r>
  </si>
  <si>
    <r>
      <rPr>
        <b/>
        <sz val="7"/>
        <rFont val="Arial"/>
        <family val="2"/>
      </rPr>
      <t>OTROS</t>
    </r>
  </si>
  <si>
    <r>
      <rPr>
        <sz val="7"/>
        <rFont val="Arial"/>
        <family val="2"/>
      </rPr>
      <t>PRUEBA HIDRAULICA TUBERIA INST/DOMICIL AGUA</t>
    </r>
  </si>
  <si>
    <r>
      <rPr>
        <sz val="7"/>
        <rFont val="Arial"/>
        <family val="2"/>
      </rPr>
      <t>MESA PARA LAVATORIO DE COCINA</t>
    </r>
  </si>
  <si>
    <r>
      <rPr>
        <b/>
        <sz val="7"/>
        <rFont val="Arial"/>
        <family val="2"/>
      </rPr>
      <t>INSTALACIONES ELECTRICAS</t>
    </r>
  </si>
  <si>
    <r>
      <rPr>
        <sz val="7"/>
        <rFont val="Arial"/>
        <family val="2"/>
      </rPr>
      <t>SALIDA DE TECHO</t>
    </r>
  </si>
  <si>
    <r>
      <rPr>
        <sz val="7"/>
        <rFont val="Arial"/>
        <family val="2"/>
      </rPr>
      <t>SALIDA PARA TOMACORRIENTES</t>
    </r>
  </si>
  <si>
    <r>
      <rPr>
        <sz val="7"/>
        <rFont val="Arial"/>
        <family val="2"/>
      </rPr>
      <t>SALIDA PARA TOMACORRIENTE MIXTO</t>
    </r>
  </si>
  <si>
    <r>
      <rPr>
        <sz val="7"/>
        <rFont val="Arial"/>
        <family val="2"/>
      </rPr>
      <t>SALIDA DE FUERZA PARA COCINA</t>
    </r>
  </si>
  <si>
    <r>
      <rPr>
        <sz val="7"/>
        <rFont val="Arial"/>
        <family val="2"/>
      </rPr>
      <t>SALIDA PARA TELEFONO DIRECTO</t>
    </r>
  </si>
  <si>
    <r>
      <rPr>
        <sz val="7"/>
        <rFont val="Arial"/>
        <family val="2"/>
      </rPr>
      <t>SALIDA PARA ANTENA DE TELEVISION</t>
    </r>
  </si>
  <si>
    <r>
      <rPr>
        <sz val="7"/>
        <rFont val="Arial"/>
        <family val="2"/>
      </rPr>
      <t>SALIDA PARA TIMBRE TIPO GONG</t>
    </r>
  </si>
  <si>
    <r>
      <rPr>
        <b/>
        <sz val="7"/>
        <rFont val="Arial"/>
        <family val="2"/>
      </rPr>
      <t>TABLEROS Y CUCHILLAS</t>
    </r>
  </si>
  <si>
    <r>
      <rPr>
        <sz val="7"/>
        <rFont val="Arial"/>
        <family val="2"/>
      </rPr>
      <t>TABLEROS DISTRIBUCION</t>
    </r>
  </si>
  <si>
    <r>
      <rPr>
        <b/>
        <sz val="7"/>
        <rFont val="Arial"/>
        <family val="2"/>
      </rPr>
      <t>CONEXION A RED EXTERNA</t>
    </r>
  </si>
  <si>
    <r>
      <rPr>
        <sz val="7"/>
        <rFont val="Arial"/>
        <family val="2"/>
      </rPr>
      <t>CONEXION A RED EXTERNA</t>
    </r>
  </si>
  <si>
    <r>
      <rPr>
        <sz val="7"/>
        <rFont val="Arial"/>
        <family val="2"/>
      </rPr>
      <t>MURETE DE CONCRETO</t>
    </r>
  </si>
  <si>
    <r>
      <rPr>
        <b/>
        <sz val="9"/>
        <rFont val="Arial"/>
        <family val="2"/>
      </rPr>
      <t>COSTO DIRECTO ( NUEVOS SOLES )</t>
    </r>
  </si>
  <si>
    <r>
      <rPr>
        <b/>
        <i/>
        <sz val="8"/>
        <rFont val="Arial"/>
        <family val="2"/>
      </rPr>
      <t>FUENTE: Elaboración propia</t>
    </r>
  </si>
  <si>
    <r>
      <rPr>
        <b/>
        <i/>
        <sz val="8"/>
        <rFont val="Arial"/>
        <family val="2"/>
      </rPr>
      <t>TOTAL AREA TECHADA (M2) PARA UNA VIVIENDA</t>
    </r>
  </si>
  <si>
    <r>
      <rPr>
        <b/>
        <i/>
        <sz val="8"/>
        <rFont val="Arial"/>
        <family val="2"/>
      </rPr>
      <t>COSTO DIRECTO POR M2 DE AREA TECHADA (NUEVOS SOLES)</t>
    </r>
  </si>
  <si>
    <r>
      <rPr>
        <b/>
        <i/>
        <sz val="8"/>
        <rFont val="Arial"/>
        <family val="2"/>
      </rPr>
      <t>TIPO DE CAMBIO PROMEDIO (JULIO 2009) S/. x US$</t>
    </r>
  </si>
  <si>
    <r>
      <rPr>
        <b/>
        <i/>
        <sz val="8"/>
        <rFont val="Arial"/>
        <family val="2"/>
      </rPr>
      <t>COSTO DIRECTO POR M2 DE AREA TECHADA (US$)</t>
    </r>
  </si>
  <si>
    <t>Urbanización : AZIRUNI III ETAPA Sector los Girasoles, Puno, Puno, Puno</t>
  </si>
  <si>
    <t>Area del lote: 126 y  135 m2. AC = 40m2. Frentes de 7 y 7.5m2</t>
  </si>
  <si>
    <t>Costos a Junio de 2009</t>
  </si>
  <si>
    <t>General expenses</t>
  </si>
  <si>
    <t>E</t>
  </si>
  <si>
    <t>Ground extras</t>
  </si>
  <si>
    <t>Walls</t>
  </si>
  <si>
    <t>Floors (only finishings)</t>
  </si>
  <si>
    <t>m3</t>
  </si>
  <si>
    <t>m2</t>
  </si>
  <si>
    <t>C</t>
  </si>
  <si>
    <t>ml</t>
  </si>
  <si>
    <t>Units</t>
  </si>
  <si>
    <t>Partial</t>
  </si>
  <si>
    <t>Per bathroom</t>
  </si>
  <si>
    <t>Cardenas Vanessa (2009)</t>
  </si>
  <si>
    <t>CASETA DE GUARDIANIA Y ALMACEN</t>
  </si>
  <si>
    <t>GLB</t>
  </si>
  <si>
    <t>LIMPIEZA DE TERRENO MANUAL</t>
  </si>
  <si>
    <t>TRAZO Y REPLANTEO</t>
  </si>
  <si>
    <t>TRAZO DE NIVELES Y REPLANTEO DURANTE EL PROCESO</t>
  </si>
  <si>
    <t>EXCAVACION DE ZANJAS PARA CIMIENTOS</t>
  </si>
  <si>
    <t>NIVELACION INTERIOR Y COMPACTACION</t>
  </si>
  <si>
    <t>RELLENO MANUAL CON MATERIAL DE PRESTAMO</t>
  </si>
  <si>
    <t>ELIMINACION MATERIAL EXCEDENTE</t>
  </si>
  <si>
    <t>RELLENO  COMPACTADO EN LOTES CON MATERIAL PROPIO</t>
  </si>
  <si>
    <t>CIMIENTOS CORRIDOS</t>
  </si>
  <si>
    <t>CONCRETO  PARA SOBRECIMIENTOS</t>
  </si>
  <si>
    <t>ENCOFRADO Y DESENCOFRADO  EN SOBRECINIENTOS</t>
  </si>
  <si>
    <t>CONCRETO EN FALSOPISO</t>
  </si>
  <si>
    <t>CONCRETO EN SOBRECIMIENTO REFORZADO</t>
  </si>
  <si>
    <t>ENCOFRADO Y DESENCOFRADO EN SOBRECIMIENTO
REFORZADO</t>
  </si>
  <si>
    <t>ACERO ESTRUCTURAL  PARA SOBRE CIMIENTO REFORZADO</t>
  </si>
  <si>
    <t>kg</t>
  </si>
  <si>
    <t>CONCRETO EN COLUMNAS</t>
  </si>
  <si>
    <t>ENCOFRADO Y DESENCOFRADO EN COLUMNAS</t>
  </si>
  <si>
    <t>ACERO ESTRUCTURAL  PARA COLUMNAS</t>
  </si>
  <si>
    <t>CONCRETO EN VIGAS</t>
  </si>
  <si>
    <t>ENCOFRADO Y DESENCOFRADO EN VIGAS</t>
  </si>
  <si>
    <t>ACERO ESTRUCTURAL PARA VIGAS</t>
  </si>
  <si>
    <t>CONCRETO EN LOSAS ALIGARADAS</t>
  </si>
  <si>
    <t>ENCOFRADO Y DESENCOFRADO EN LOSAS ALIGERADSA</t>
  </si>
  <si>
    <t>ACERO ESTRUCTURAL  PARA LOSAS ALIGERADAS</t>
  </si>
  <si>
    <t>LADRILLO HUECO DE ARCILLA PARA TECHO ALIGERADO</t>
  </si>
  <si>
    <t>und</t>
  </si>
  <si>
    <t>MUROS DE LADRILLO KK  DE SOGA</t>
  </si>
  <si>
    <t>TARRAJEO EN INTERIORES</t>
  </si>
  <si>
    <t>TARRAJEO EN EXTERIORES</t>
  </si>
  <si>
    <t>VESTIDURA DE DERRAMES EN PUERTAS, VENTANAS Y VANOS</t>
  </si>
  <si>
    <t>ML</t>
  </si>
  <si>
    <t>TARRAJEO  LAVADERO DE COCINA</t>
  </si>
  <si>
    <t>PARED CERAMICO NACIONAL</t>
  </si>
  <si>
    <t>CIELORRASOS</t>
  </si>
  <si>
    <t>PISOS DE CONCRETO COLOREADO FROTACHADO</t>
  </si>
  <si>
    <t>PISO DE LOSETA VENECIANA DE COLOR CLARO</t>
  </si>
  <si>
    <t>MAYOLICA LAVADERO COCINA</t>
  </si>
  <si>
    <t>CONTRAZOCALO CEMENTO</t>
  </si>
  <si>
    <t>PUERTAS DE MADERA CON MARCO</t>
  </si>
  <si>
    <t>PUERTA CONTRAPLACADA CON MARCO</t>
  </si>
  <si>
    <t>BISAGRA ALUMINIZADA</t>
  </si>
  <si>
    <t>pza</t>
  </si>
  <si>
    <t>CERRADURA PARA PUERTA PRINCIPAL PESADA</t>
  </si>
  <si>
    <t>CERRADURA PTA.BAÑO</t>
  </si>
  <si>
    <t>VIDRIO 2 DOBLE SISTEMA MODULAR EN 4MM</t>
  </si>
  <si>
    <t>VIDRIO DOBLE  SISTEMA MODULAR EN 4MM</t>
  </si>
  <si>
    <t>PINTURA VINILICA EN CIELO RASO</t>
  </si>
  <si>
    <t>PINTURA VINILICA EN MUROS EXTERIORES 2</t>
  </si>
  <si>
    <t>PINTURA VINILICA EN MUROS INTERIORES</t>
  </si>
  <si>
    <t>COBERTURA DE TECHO</t>
  </si>
  <si>
    <t>Roofs/Ceiling</t>
  </si>
  <si>
    <t>LIMPIEZA GENERAL DE OBRA</t>
  </si>
  <si>
    <t>INODORO TANQUE BAJO</t>
  </si>
  <si>
    <t>LAVATORIO DE PARED</t>
  </si>
  <si>
    <t>LAVADERO DE COCINA DE ACERO INOXIDABLE</t>
  </si>
  <si>
    <t>DUCHA CROMADA  INCL.ACCESORIOS</t>
  </si>
  <si>
    <t>SALIDAS DE PVC SAL PARA DESAGUE DE 2"</t>
  </si>
  <si>
    <t>pto</t>
  </si>
  <si>
    <t>SALIDAS DE PVC SAL PARA DESAGUE DE 4"</t>
  </si>
  <si>
    <t>SALIDAS DE PVC SAL PARA VENTILACION DE 2"</t>
  </si>
  <si>
    <t>SALIDAS DE PVC SAL PARA AGUAS PLUVIALES DE 3"</t>
  </si>
  <si>
    <t>TUBERIA DE PVC SAL 4"</t>
  </si>
  <si>
    <t>m</t>
  </si>
  <si>
    <t>TUBERIA DE PVC SAL 2"</t>
  </si>
  <si>
    <t>REGISTRO DE BRONCE 2", PROVISION Y COLOCACION</t>
  </si>
  <si>
    <t>REGISTRO DE BRONCE 4", PROVICION Y COLOCACIÓN</t>
  </si>
  <si>
    <t>SUMIDERO DE BRONCE 2", PROVISION Y COLOCACION</t>
  </si>
  <si>
    <t>SOMBRERO VENTILACION PVC DE 2"</t>
  </si>
  <si>
    <t>CAJA DE REG. ALB. 12" X 24" C/TAPA CONCRETO</t>
  </si>
  <si>
    <t>Bathroom and kitchen shared</t>
  </si>
  <si>
    <t>Bathroom extras</t>
  </si>
  <si>
    <t>SALIDA DE AGUA FRIA CON TUBERIA DE PVC-SAP 1/2"</t>
  </si>
  <si>
    <t>RED DE DISTRIBUCION TUBERIA DE 1/2" PVC-SAP</t>
  </si>
  <si>
    <t>VALVULAS DE COMPUERTA DE BRONCE DE 1/2"</t>
  </si>
  <si>
    <t>LLAVE DE RIEGO CON GRIFO DE 1/2"</t>
  </si>
  <si>
    <t>PRUEBA HIDRAULICA TUBERIA INST/DOMICIL AGUA</t>
  </si>
  <si>
    <t>MESA PARA LAVATORIO DE COCINA</t>
  </si>
  <si>
    <t>SALIDA DE TECHO</t>
  </si>
  <si>
    <t>SALIDA PARA TOMACORRIENTES</t>
  </si>
  <si>
    <t>SALIDA PARA TOMACORRIENTE MIXTO</t>
  </si>
  <si>
    <t>SALIDA DE FUERZA PARA COCINA</t>
  </si>
  <si>
    <t>SALIDA PARA TELEFONO DIRECTO</t>
  </si>
  <si>
    <t>SALIDA PARA ANTENA DE TELEVISION</t>
  </si>
  <si>
    <t>SALIDA PARA TIMBRE TIPO GONG</t>
  </si>
  <si>
    <t>TABLEROS DISTRIBUCION</t>
  </si>
  <si>
    <t>CONEXION A RED EXTERNA</t>
  </si>
  <si>
    <t>MURETE DE CONCRETO</t>
  </si>
  <si>
    <t>Quantity</t>
  </si>
  <si>
    <t>Unit Cost</t>
  </si>
  <si>
    <t>Total</t>
  </si>
  <si>
    <t>Extras included in core</t>
  </si>
  <si>
    <t>Relative</t>
  </si>
  <si>
    <t>Per unit</t>
  </si>
  <si>
    <t>Per Bathroom</t>
  </si>
  <si>
    <t>per m2 of built area</t>
  </si>
  <si>
    <t>Unit</t>
  </si>
  <si>
    <t>per m2 of wall</t>
  </si>
  <si>
    <t>per m2 of ceiling</t>
  </si>
  <si>
    <t>per m2 of finished floor</t>
  </si>
  <si>
    <t>One room of 2.7*2.7 in 2009</t>
  </si>
  <si>
    <t>Ceiling</t>
  </si>
  <si>
    <t>Floor</t>
  </si>
  <si>
    <t>Access</t>
  </si>
  <si>
    <t>Bathroom</t>
  </si>
  <si>
    <t>Room with two walls in ground</t>
  </si>
  <si>
    <t>Room with three walls in ground</t>
  </si>
  <si>
    <t>Room with four walls in ground</t>
  </si>
  <si>
    <t>unit</t>
  </si>
  <si>
    <t>per sqm of built area</t>
  </si>
  <si>
    <t>per sqm of walls</t>
  </si>
  <si>
    <t>per sqm of ceiling</t>
  </si>
  <si>
    <t>per sqm of finished floor</t>
  </si>
  <si>
    <t>Partial total</t>
  </si>
  <si>
    <t>TOTAL</t>
  </si>
  <si>
    <t>OFFICIAL UNITARY VALUES</t>
  </si>
  <si>
    <t>FACTOR</t>
  </si>
  <si>
    <t>Year</t>
  </si>
  <si>
    <t>Source</t>
  </si>
  <si>
    <t>Party</t>
  </si>
  <si>
    <t>Type</t>
  </si>
  <si>
    <t>Region</t>
  </si>
  <si>
    <t>Unit value</t>
  </si>
  <si>
    <t>Roof</t>
  </si>
  <si>
    <t>G</t>
  </si>
  <si>
    <t>F</t>
  </si>
  <si>
    <t>Coating</t>
  </si>
  <si>
    <t>Toilet</t>
  </si>
  <si>
    <t>Electricals</t>
  </si>
  <si>
    <t>Sierra</t>
  </si>
  <si>
    <t>Door and window</t>
  </si>
  <si>
    <t>RM 296-2009-Vivienda</t>
  </si>
  <si>
    <t>my area</t>
  </si>
  <si>
    <t>my official cost</t>
  </si>
  <si>
    <t>Room with two walls ABOVE ground</t>
  </si>
  <si>
    <t>Room with three walls ABOVE ground</t>
  </si>
  <si>
    <t>Room with four walls ABOVE ground</t>
  </si>
  <si>
    <t>IMPOSSIBLE</t>
  </si>
  <si>
    <t>Room with one wall in ground</t>
  </si>
  <si>
    <t>Room with one wall ABOVE ground</t>
  </si>
  <si>
    <t>Average 2009</t>
  </si>
  <si>
    <t>Considering 2.8% annual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</si>
</sst>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;@"/>
    <numFmt numFmtId="165" formatCode="00"/>
    <numFmt numFmtId="166" formatCode="0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name val="Arial"/>
    </font>
    <font>
      <b/>
      <sz val="7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name val="Arial"/>
    </font>
    <font>
      <sz val="7"/>
      <name val="Arial"/>
      <family val="2"/>
    </font>
    <font>
      <b/>
      <sz val="9"/>
      <name val="Arial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i/>
      <sz val="8"/>
      <name val="Arial"/>
    </font>
    <font>
      <b/>
      <i/>
      <sz val="8"/>
      <name val="Arial"/>
      <family val="2"/>
    </font>
    <font>
      <b/>
      <i/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A6A6A6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65" fontId="5" fillId="2" borderId="1" xfId="0" applyNumberFormat="1" applyFont="1" applyFill="1" applyBorder="1" applyAlignment="1">
      <alignment horizontal="left" vertical="top" shrinkToFit="1"/>
    </xf>
    <xf numFmtId="166" fontId="5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shrinkToFit="1"/>
    </xf>
    <xf numFmtId="0" fontId="0" fillId="2" borderId="1" xfId="0" applyFill="1" applyBorder="1" applyAlignment="1">
      <alignment horizontal="left" wrapText="1"/>
    </xf>
    <xf numFmtId="2" fontId="5" fillId="0" borderId="1" xfId="0" applyNumberFormat="1" applyFont="1" applyBorder="1" applyAlignment="1">
      <alignment horizontal="left" vertical="top" shrinkToFit="1"/>
    </xf>
    <xf numFmtId="0" fontId="1" fillId="0" borderId="0" xfId="0" applyFont="1"/>
    <xf numFmtId="0" fontId="0" fillId="0" borderId="0" xfId="0" applyAlignment="1"/>
    <xf numFmtId="0" fontId="1" fillId="0" borderId="0" xfId="0" applyFont="1" applyAlignment="1"/>
    <xf numFmtId="0" fontId="0" fillId="4" borderId="0" xfId="0" applyFill="1"/>
    <xf numFmtId="0" fontId="0" fillId="0" borderId="0" xfId="0" applyFill="1"/>
    <xf numFmtId="2" fontId="0" fillId="0" borderId="0" xfId="0" applyNumberFormat="1"/>
    <xf numFmtId="2" fontId="1" fillId="0" borderId="0" xfId="0" applyNumberFormat="1" applyFont="1"/>
    <xf numFmtId="0" fontId="11" fillId="0" borderId="0" xfId="0" applyFont="1" applyAlignment="1">
      <alignment horizontal="left" vertical="top" wrapText="1"/>
    </xf>
    <xf numFmtId="2" fontId="13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2" fontId="13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top" wrapText="1"/>
    </xf>
    <xf numFmtId="2" fontId="13" fillId="4" borderId="0" xfId="0" applyNumberFormat="1" applyFont="1" applyFill="1" applyAlignment="1">
      <alignment horizontal="right" vertical="top" shrinkToFi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2" fontId="5" fillId="0" borderId="2" xfId="0" applyNumberFormat="1" applyFont="1" applyBorder="1" applyAlignment="1">
      <alignment horizontal="right" vertical="top" shrinkToFit="1"/>
    </xf>
    <xf numFmtId="2" fontId="5" fillId="0" borderId="3" xfId="0" applyNumberFormat="1" applyFont="1" applyBorder="1" applyAlignment="1">
      <alignment horizontal="right" vertical="top" shrinkToFit="1"/>
    </xf>
    <xf numFmtId="0" fontId="8" fillId="3" borderId="2" xfId="0" applyFont="1" applyFill="1" applyBorder="1" applyAlignment="1">
      <alignment horizontal="left" vertical="top" wrapText="1" indent="29"/>
    </xf>
    <xf numFmtId="0" fontId="8" fillId="3" borderId="4" xfId="0" applyFont="1" applyFill="1" applyBorder="1" applyAlignment="1">
      <alignment horizontal="left" vertical="top" wrapText="1" indent="29"/>
    </xf>
    <xf numFmtId="0" fontId="8" fillId="3" borderId="3" xfId="0" applyFont="1" applyFill="1" applyBorder="1" applyAlignment="1">
      <alignment horizontal="left" vertical="top" wrapText="1" indent="29"/>
    </xf>
    <xf numFmtId="4" fontId="10" fillId="3" borderId="2" xfId="0" applyNumberFormat="1" applyFont="1" applyFill="1" applyBorder="1" applyAlignment="1">
      <alignment horizontal="left" vertical="top" shrinkToFit="1"/>
    </xf>
    <xf numFmtId="4" fontId="10" fillId="3" borderId="3" xfId="0" applyNumberFormat="1" applyFont="1" applyFill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4" fontId="4" fillId="2" borderId="2" xfId="0" applyNumberFormat="1" applyFont="1" applyFill="1" applyBorder="1" applyAlignment="1">
      <alignment horizontal="right" vertical="top" shrinkToFit="1"/>
    </xf>
    <xf numFmtId="4" fontId="4" fillId="2" borderId="3" xfId="0" applyNumberFormat="1" applyFont="1" applyFill="1" applyBorder="1" applyAlignment="1">
      <alignment horizontal="right" vertical="top" shrinkToFi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4" fontId="4" fillId="0" borderId="2" xfId="0" applyNumberFormat="1" applyFont="1" applyBorder="1" applyAlignment="1">
      <alignment horizontal="right" vertical="top" shrinkToFit="1"/>
    </xf>
    <xf numFmtId="4" fontId="4" fillId="0" borderId="3" xfId="0" applyNumberFormat="1" applyFont="1" applyBorder="1" applyAlignment="1">
      <alignment horizontal="right" vertical="top" shrinkToFit="1"/>
    </xf>
    <xf numFmtId="165" fontId="5" fillId="0" borderId="2" xfId="0" applyNumberFormat="1" applyFont="1" applyBorder="1" applyAlignment="1">
      <alignment horizontal="left" vertical="top" shrinkToFit="1"/>
    </xf>
    <xf numFmtId="165" fontId="5" fillId="0" borderId="3" xfId="0" applyNumberFormat="1" applyFont="1" applyBorder="1" applyAlignment="1">
      <alignment horizontal="left" vertical="top" shrinkToFit="1"/>
    </xf>
    <xf numFmtId="2" fontId="5" fillId="0" borderId="4" xfId="0" applyNumberFormat="1" applyFont="1" applyBorder="1" applyAlignment="1">
      <alignment horizontal="right" vertical="top" shrinkToFit="1"/>
    </xf>
    <xf numFmtId="4" fontId="5" fillId="0" borderId="2" xfId="0" applyNumberFormat="1" applyFont="1" applyBorder="1" applyAlignment="1">
      <alignment horizontal="right" vertical="top" shrinkToFit="1"/>
    </xf>
    <xf numFmtId="4" fontId="5" fillId="0" borderId="4" xfId="0" applyNumberFormat="1" applyFont="1" applyBorder="1" applyAlignment="1">
      <alignment horizontal="right" vertical="top" shrinkToFit="1"/>
    </xf>
    <xf numFmtId="4" fontId="5" fillId="0" borderId="3" xfId="0" applyNumberFormat="1" applyFont="1" applyBorder="1" applyAlignment="1">
      <alignment horizontal="right" vertical="top" shrinkToFi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4" fontId="4" fillId="2" borderId="4" xfId="0" applyNumberFormat="1" applyFont="1" applyFill="1" applyBorder="1" applyAlignment="1">
      <alignment horizontal="right" vertical="top" shrinkToFit="1"/>
    </xf>
    <xf numFmtId="4" fontId="4" fillId="0" borderId="4" xfId="0" applyNumberFormat="1" applyFont="1" applyBorder="1" applyAlignment="1">
      <alignment horizontal="right" vertical="top" shrinkToFit="1"/>
    </xf>
    <xf numFmtId="2" fontId="4" fillId="0" borderId="4" xfId="0" applyNumberFormat="1" applyFont="1" applyBorder="1" applyAlignment="1">
      <alignment horizontal="right" vertical="top" shrinkToFit="1"/>
    </xf>
    <xf numFmtId="164" fontId="4" fillId="2" borderId="2" xfId="0" applyNumberFormat="1" applyFont="1" applyFill="1" applyBorder="1" applyAlignment="1">
      <alignment horizontal="left" vertical="top" shrinkToFit="1"/>
    </xf>
    <xf numFmtId="164" fontId="4" fillId="2" borderId="4" xfId="0" applyNumberFormat="1" applyFont="1" applyFill="1" applyBorder="1" applyAlignment="1">
      <alignment horizontal="left" vertical="top" shrinkToFit="1"/>
    </xf>
    <xf numFmtId="164" fontId="4" fillId="2" borderId="3" xfId="0" applyNumberFormat="1" applyFont="1" applyFill="1" applyBorder="1" applyAlignment="1">
      <alignment horizontal="left" vertical="top" shrinkToFit="1"/>
    </xf>
    <xf numFmtId="0" fontId="2" fillId="2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4" fillId="0" borderId="0" xfId="0" applyFont="1"/>
    <xf numFmtId="2" fontId="14" fillId="0" borderId="0" xfId="0" applyNumberFormat="1" applyFont="1"/>
    <xf numFmtId="0" fontId="15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A75F-1E70-44D0-9AB1-12D59A04CCD5}">
  <dimension ref="A1:K126"/>
  <sheetViews>
    <sheetView workbookViewId="0">
      <selection activeCell="A122" sqref="A122:C122"/>
    </sheetView>
  </sheetViews>
  <sheetFormatPr defaultRowHeight="15" x14ac:dyDescent="0.25"/>
  <sheetData>
    <row r="1" spans="1:11" x14ac:dyDescent="0.25">
      <c r="A1" s="16" t="s">
        <v>149</v>
      </c>
    </row>
    <row r="2" spans="1:11" x14ac:dyDescent="0.25">
      <c r="A2" s="15" t="s">
        <v>151</v>
      </c>
    </row>
    <row r="3" spans="1:11" x14ac:dyDescent="0.25">
      <c r="A3" t="s">
        <v>150</v>
      </c>
    </row>
    <row r="4" spans="1:11" x14ac:dyDescent="0.25">
      <c r="A4" s="4" t="s">
        <v>0</v>
      </c>
      <c r="B4" s="4" t="s">
        <v>1</v>
      </c>
      <c r="C4" s="58"/>
      <c r="D4" s="59"/>
      <c r="E4" s="58"/>
      <c r="F4" s="59"/>
      <c r="G4" s="46" t="s">
        <v>2</v>
      </c>
      <c r="H4" s="47"/>
      <c r="I4" s="63">
        <v>39994</v>
      </c>
      <c r="J4" s="64"/>
      <c r="K4" s="65"/>
    </row>
    <row r="5" spans="1:11" ht="18" x14ac:dyDescent="0.25">
      <c r="A5" s="4" t="s">
        <v>3</v>
      </c>
      <c r="B5" s="4" t="s">
        <v>4</v>
      </c>
      <c r="C5" s="46" t="s">
        <v>5</v>
      </c>
      <c r="D5" s="47"/>
      <c r="E5" s="46" t="s">
        <v>6</v>
      </c>
      <c r="F5" s="47"/>
      <c r="G5" s="46" t="s">
        <v>7</v>
      </c>
      <c r="H5" s="47"/>
      <c r="I5" s="46" t="s">
        <v>8</v>
      </c>
      <c r="J5" s="66"/>
      <c r="K5" s="47"/>
    </row>
    <row r="6" spans="1:11" ht="18" x14ac:dyDescent="0.25">
      <c r="A6" s="5">
        <v>1</v>
      </c>
      <c r="B6" s="4" t="s">
        <v>9</v>
      </c>
      <c r="C6" s="42"/>
      <c r="D6" s="43"/>
      <c r="E6" s="42"/>
      <c r="F6" s="43"/>
      <c r="G6" s="42"/>
      <c r="H6" s="43"/>
      <c r="I6" s="44">
        <v>16833.77</v>
      </c>
      <c r="J6" s="60"/>
      <c r="K6" s="45"/>
    </row>
    <row r="7" spans="1:11" ht="45" x14ac:dyDescent="0.25">
      <c r="A7" s="6">
        <v>1.01</v>
      </c>
      <c r="B7" s="7" t="s">
        <v>10</v>
      </c>
      <c r="C7" s="40"/>
      <c r="D7" s="41"/>
      <c r="E7" s="40"/>
      <c r="F7" s="41"/>
      <c r="G7" s="40"/>
      <c r="H7" s="41"/>
      <c r="I7" s="38">
        <v>93.89</v>
      </c>
      <c r="J7" s="62"/>
      <c r="K7" s="39"/>
    </row>
    <row r="8" spans="1:11" ht="36" x14ac:dyDescent="0.25">
      <c r="A8" s="8">
        <v>36892</v>
      </c>
      <c r="B8" s="9" t="s">
        <v>11</v>
      </c>
      <c r="C8" s="27" t="s">
        <v>12</v>
      </c>
      <c r="D8" s="28"/>
      <c r="E8" s="29">
        <v>1</v>
      </c>
      <c r="F8" s="30"/>
      <c r="G8" s="29">
        <v>93.89</v>
      </c>
      <c r="H8" s="30"/>
      <c r="I8" s="29">
        <v>93.89</v>
      </c>
      <c r="J8" s="54"/>
      <c r="K8" s="30"/>
    </row>
    <row r="9" spans="1:11" ht="27" x14ac:dyDescent="0.25">
      <c r="A9" s="6">
        <v>1.02</v>
      </c>
      <c r="B9" s="7" t="s">
        <v>13</v>
      </c>
      <c r="C9" s="40"/>
      <c r="D9" s="41"/>
      <c r="E9" s="40"/>
      <c r="F9" s="41"/>
      <c r="G9" s="40"/>
      <c r="H9" s="41"/>
      <c r="I9" s="38">
        <v>142.44999999999999</v>
      </c>
      <c r="J9" s="62"/>
      <c r="K9" s="39"/>
    </row>
    <row r="10" spans="1:11" ht="36" x14ac:dyDescent="0.25">
      <c r="A10" s="8">
        <v>36923</v>
      </c>
      <c r="B10" s="9" t="s">
        <v>14</v>
      </c>
      <c r="C10" s="27" t="s">
        <v>15</v>
      </c>
      <c r="D10" s="28"/>
      <c r="E10" s="29">
        <v>48.52</v>
      </c>
      <c r="F10" s="30"/>
      <c r="G10" s="29">
        <v>1.79</v>
      </c>
      <c r="H10" s="30"/>
      <c r="I10" s="29">
        <v>86.85</v>
      </c>
      <c r="J10" s="54"/>
      <c r="K10" s="30"/>
    </row>
    <row r="11" spans="1:11" ht="27" x14ac:dyDescent="0.25">
      <c r="A11" s="8">
        <v>37288</v>
      </c>
      <c r="B11" s="9" t="s">
        <v>16</v>
      </c>
      <c r="C11" s="27" t="s">
        <v>15</v>
      </c>
      <c r="D11" s="28"/>
      <c r="E11" s="29">
        <v>38.75</v>
      </c>
      <c r="F11" s="30"/>
      <c r="G11" s="29">
        <v>0.88</v>
      </c>
      <c r="H11" s="30"/>
      <c r="I11" s="29">
        <v>34.1</v>
      </c>
      <c r="J11" s="54"/>
      <c r="K11" s="30"/>
    </row>
    <row r="12" spans="1:11" ht="54" x14ac:dyDescent="0.25">
      <c r="A12" s="8">
        <v>37653</v>
      </c>
      <c r="B12" s="9" t="s">
        <v>17</v>
      </c>
      <c r="C12" s="27" t="s">
        <v>15</v>
      </c>
      <c r="D12" s="28"/>
      <c r="E12" s="29">
        <v>25.6</v>
      </c>
      <c r="F12" s="30"/>
      <c r="G12" s="29">
        <v>0.84</v>
      </c>
      <c r="H12" s="30"/>
      <c r="I12" s="29">
        <v>21.5</v>
      </c>
      <c r="J12" s="54"/>
      <c r="K12" s="30"/>
    </row>
    <row r="13" spans="1:11" ht="27" x14ac:dyDescent="0.25">
      <c r="A13" s="6">
        <v>1.03</v>
      </c>
      <c r="B13" s="7" t="s">
        <v>18</v>
      </c>
      <c r="C13" s="40"/>
      <c r="D13" s="41"/>
      <c r="E13" s="40"/>
      <c r="F13" s="41"/>
      <c r="G13" s="40"/>
      <c r="H13" s="41"/>
      <c r="I13" s="50">
        <v>1037.8399999999999</v>
      </c>
      <c r="J13" s="61"/>
      <c r="K13" s="51"/>
    </row>
    <row r="14" spans="1:11" ht="45" x14ac:dyDescent="0.25">
      <c r="A14" s="8">
        <v>36951</v>
      </c>
      <c r="B14" s="9" t="s">
        <v>19</v>
      </c>
      <c r="C14" s="27" t="s">
        <v>20</v>
      </c>
      <c r="D14" s="28"/>
      <c r="E14" s="29">
        <v>19.5</v>
      </c>
      <c r="F14" s="30"/>
      <c r="G14" s="29">
        <v>21.37</v>
      </c>
      <c r="H14" s="30"/>
      <c r="I14" s="29">
        <v>416.72</v>
      </c>
      <c r="J14" s="54"/>
      <c r="K14" s="30"/>
    </row>
    <row r="15" spans="1:11" ht="36" x14ac:dyDescent="0.25">
      <c r="A15" s="8">
        <v>37316</v>
      </c>
      <c r="B15" s="9" t="s">
        <v>21</v>
      </c>
      <c r="C15" s="27" t="s">
        <v>15</v>
      </c>
      <c r="D15" s="28"/>
      <c r="E15" s="29">
        <v>54.32</v>
      </c>
      <c r="F15" s="30"/>
      <c r="G15" s="29">
        <v>2.72</v>
      </c>
      <c r="H15" s="30"/>
      <c r="I15" s="29">
        <v>147.75</v>
      </c>
      <c r="J15" s="54"/>
      <c r="K15" s="30"/>
    </row>
    <row r="16" spans="1:11" ht="54" x14ac:dyDescent="0.25">
      <c r="A16" s="8">
        <v>37681</v>
      </c>
      <c r="B16" s="9" t="s">
        <v>22</v>
      </c>
      <c r="C16" s="27" t="s">
        <v>20</v>
      </c>
      <c r="D16" s="28"/>
      <c r="E16" s="29">
        <v>3.7</v>
      </c>
      <c r="F16" s="30"/>
      <c r="G16" s="29">
        <v>27.94</v>
      </c>
      <c r="H16" s="30"/>
      <c r="I16" s="29">
        <v>103.38</v>
      </c>
      <c r="J16" s="54"/>
      <c r="K16" s="30"/>
    </row>
    <row r="17" spans="1:11" ht="36" x14ac:dyDescent="0.25">
      <c r="A17" s="8">
        <v>38047</v>
      </c>
      <c r="B17" s="9" t="s">
        <v>23</v>
      </c>
      <c r="C17" s="27" t="s">
        <v>20</v>
      </c>
      <c r="D17" s="28"/>
      <c r="E17" s="29">
        <v>18.98</v>
      </c>
      <c r="F17" s="30"/>
      <c r="G17" s="29">
        <v>4.99</v>
      </c>
      <c r="H17" s="30"/>
      <c r="I17" s="29">
        <v>94.71</v>
      </c>
      <c r="J17" s="54"/>
      <c r="K17" s="30"/>
    </row>
    <row r="18" spans="1:11" ht="54" x14ac:dyDescent="0.25">
      <c r="A18" s="8">
        <v>38412</v>
      </c>
      <c r="B18" s="9" t="s">
        <v>24</v>
      </c>
      <c r="C18" s="27" t="s">
        <v>20</v>
      </c>
      <c r="D18" s="28"/>
      <c r="E18" s="29">
        <v>12.9</v>
      </c>
      <c r="F18" s="30"/>
      <c r="G18" s="29">
        <v>21.34</v>
      </c>
      <c r="H18" s="30"/>
      <c r="I18" s="29">
        <v>275.29000000000002</v>
      </c>
      <c r="J18" s="54"/>
      <c r="K18" s="30"/>
    </row>
    <row r="19" spans="1:11" ht="36" x14ac:dyDescent="0.25">
      <c r="A19" s="6">
        <v>1.04</v>
      </c>
      <c r="B19" s="7" t="s">
        <v>25</v>
      </c>
      <c r="C19" s="40"/>
      <c r="D19" s="41"/>
      <c r="E19" s="40"/>
      <c r="F19" s="41"/>
      <c r="G19" s="40"/>
      <c r="H19" s="41"/>
      <c r="I19" s="50">
        <v>3368.27</v>
      </c>
      <c r="J19" s="61"/>
      <c r="K19" s="51"/>
    </row>
    <row r="20" spans="1:11" ht="18" x14ac:dyDescent="0.25">
      <c r="A20" s="8">
        <v>36982</v>
      </c>
      <c r="B20" s="9" t="s">
        <v>26</v>
      </c>
      <c r="C20" s="27" t="s">
        <v>20</v>
      </c>
      <c r="D20" s="28"/>
      <c r="E20" s="29">
        <v>12.65</v>
      </c>
      <c r="F20" s="30"/>
      <c r="G20" s="29">
        <v>148.75</v>
      </c>
      <c r="H20" s="30"/>
      <c r="I20" s="55">
        <v>1881.69</v>
      </c>
      <c r="J20" s="56"/>
      <c r="K20" s="57"/>
    </row>
    <row r="21" spans="1:11" ht="36" x14ac:dyDescent="0.25">
      <c r="A21" s="8">
        <v>37347</v>
      </c>
      <c r="B21" s="9" t="s">
        <v>27</v>
      </c>
      <c r="C21" s="27" t="s">
        <v>20</v>
      </c>
      <c r="D21" s="28"/>
      <c r="E21" s="29">
        <v>1.34</v>
      </c>
      <c r="F21" s="30"/>
      <c r="G21" s="29">
        <v>202.31</v>
      </c>
      <c r="H21" s="30"/>
      <c r="I21" s="29">
        <v>271.10000000000002</v>
      </c>
      <c r="J21" s="54"/>
      <c r="K21" s="30"/>
    </row>
    <row r="22" spans="1:11" ht="54" x14ac:dyDescent="0.25">
      <c r="A22" s="8">
        <v>37712</v>
      </c>
      <c r="B22" s="9" t="s">
        <v>28</v>
      </c>
      <c r="C22" s="27" t="s">
        <v>15</v>
      </c>
      <c r="D22" s="28"/>
      <c r="E22" s="29">
        <v>17.850000000000001</v>
      </c>
      <c r="F22" s="30"/>
      <c r="G22" s="29">
        <v>23.14</v>
      </c>
      <c r="H22" s="30"/>
      <c r="I22" s="29">
        <v>413.05</v>
      </c>
      <c r="J22" s="54"/>
      <c r="K22" s="30"/>
    </row>
    <row r="23" spans="1:11" ht="27" x14ac:dyDescent="0.25">
      <c r="A23" s="8">
        <v>38078</v>
      </c>
      <c r="B23" s="9" t="s">
        <v>29</v>
      </c>
      <c r="C23" s="27" t="s">
        <v>15</v>
      </c>
      <c r="D23" s="28"/>
      <c r="E23" s="29">
        <v>33.729999999999997</v>
      </c>
      <c r="F23" s="30"/>
      <c r="G23" s="29">
        <v>23.79</v>
      </c>
      <c r="H23" s="30"/>
      <c r="I23" s="29">
        <v>802.44</v>
      </c>
      <c r="J23" s="54"/>
      <c r="K23" s="30"/>
    </row>
    <row r="24" spans="1:11" ht="45" x14ac:dyDescent="0.25">
      <c r="A24" s="6">
        <v>1.05</v>
      </c>
      <c r="B24" s="7" t="s">
        <v>30</v>
      </c>
      <c r="C24" s="40"/>
      <c r="D24" s="41"/>
      <c r="E24" s="40"/>
      <c r="F24" s="41"/>
      <c r="G24" s="40"/>
      <c r="H24" s="41"/>
      <c r="I24" s="50">
        <v>9619.57</v>
      </c>
      <c r="J24" s="61"/>
      <c r="K24" s="51"/>
    </row>
    <row r="25" spans="1:11" ht="36" x14ac:dyDescent="0.25">
      <c r="A25" s="8">
        <v>37012</v>
      </c>
      <c r="B25" s="7" t="s">
        <v>31</v>
      </c>
      <c r="C25" s="40"/>
      <c r="D25" s="41"/>
      <c r="E25" s="40"/>
      <c r="F25" s="41"/>
      <c r="G25" s="40"/>
      <c r="H25" s="41"/>
      <c r="I25" s="50">
        <v>1152.3399999999999</v>
      </c>
      <c r="J25" s="61"/>
      <c r="K25" s="51"/>
    </row>
    <row r="26" spans="1:11" ht="54" x14ac:dyDescent="0.25">
      <c r="A26" s="9" t="s">
        <v>32</v>
      </c>
      <c r="B26" s="9" t="s">
        <v>33</v>
      </c>
      <c r="C26" s="27" t="s">
        <v>20</v>
      </c>
      <c r="D26" s="28"/>
      <c r="E26" s="29">
        <v>1.67</v>
      </c>
      <c r="F26" s="30"/>
      <c r="G26" s="29">
        <v>213.96</v>
      </c>
      <c r="H26" s="30"/>
      <c r="I26" s="29">
        <v>357.31</v>
      </c>
      <c r="J26" s="54"/>
      <c r="K26" s="30"/>
    </row>
    <row r="27" spans="1:11" ht="72" x14ac:dyDescent="0.25">
      <c r="A27" s="9" t="s">
        <v>34</v>
      </c>
      <c r="B27" s="3" t="s">
        <v>35</v>
      </c>
      <c r="C27" s="27" t="s">
        <v>15</v>
      </c>
      <c r="D27" s="28"/>
      <c r="E27" s="29">
        <v>20.25</v>
      </c>
      <c r="F27" s="30"/>
      <c r="G27" s="29">
        <v>23.14</v>
      </c>
      <c r="H27" s="30"/>
      <c r="I27" s="29">
        <v>468.59</v>
      </c>
      <c r="J27" s="54"/>
      <c r="K27" s="30"/>
    </row>
    <row r="28" spans="1:11" ht="63" x14ac:dyDescent="0.25">
      <c r="A28" s="9" t="s">
        <v>36</v>
      </c>
      <c r="B28" s="9" t="s">
        <v>37</v>
      </c>
      <c r="C28" s="27" t="s">
        <v>38</v>
      </c>
      <c r="D28" s="28"/>
      <c r="E28" s="29">
        <v>79.62</v>
      </c>
      <c r="F28" s="30"/>
      <c r="G28" s="29">
        <v>4.0999999999999996</v>
      </c>
      <c r="H28" s="30"/>
      <c r="I28" s="29">
        <v>326.44</v>
      </c>
      <c r="J28" s="54"/>
      <c r="K28" s="30"/>
    </row>
    <row r="29" spans="1:11" ht="18" x14ac:dyDescent="0.25">
      <c r="A29" s="8">
        <v>37377</v>
      </c>
      <c r="B29" s="7" t="s">
        <v>39</v>
      </c>
      <c r="C29" s="40"/>
      <c r="D29" s="41"/>
      <c r="E29" s="40"/>
      <c r="F29" s="41"/>
      <c r="G29" s="40"/>
      <c r="H29" s="41"/>
      <c r="I29" s="50">
        <v>3852.92</v>
      </c>
      <c r="J29" s="61"/>
      <c r="K29" s="51"/>
    </row>
    <row r="30" spans="1:11" ht="27" x14ac:dyDescent="0.25">
      <c r="A30" s="9" t="s">
        <v>40</v>
      </c>
      <c r="B30" s="9" t="s">
        <v>41</v>
      </c>
      <c r="C30" s="27" t="s">
        <v>20</v>
      </c>
      <c r="D30" s="28"/>
      <c r="E30" s="29">
        <v>4.58</v>
      </c>
      <c r="F30" s="30"/>
      <c r="G30" s="29">
        <v>332.13</v>
      </c>
      <c r="H30" s="30"/>
      <c r="I30" s="55">
        <v>1521.16</v>
      </c>
      <c r="J30" s="56"/>
      <c r="K30" s="57"/>
    </row>
    <row r="31" spans="1:11" ht="45" x14ac:dyDescent="0.25">
      <c r="A31" s="9" t="s">
        <v>42</v>
      </c>
      <c r="B31" s="9" t="s">
        <v>43</v>
      </c>
      <c r="C31" s="27" t="s">
        <v>15</v>
      </c>
      <c r="D31" s="28"/>
      <c r="E31" s="29">
        <v>22.94</v>
      </c>
      <c r="F31" s="30"/>
      <c r="G31" s="29">
        <v>41.91</v>
      </c>
      <c r="H31" s="30"/>
      <c r="I31" s="29">
        <v>961.42</v>
      </c>
      <c r="J31" s="54"/>
      <c r="K31" s="30"/>
    </row>
    <row r="32" spans="1:11" ht="36" x14ac:dyDescent="0.25">
      <c r="A32" s="9" t="s">
        <v>44</v>
      </c>
      <c r="B32" s="9" t="s">
        <v>45</v>
      </c>
      <c r="C32" s="27" t="s">
        <v>38</v>
      </c>
      <c r="D32" s="28"/>
      <c r="E32" s="29">
        <v>328.62</v>
      </c>
      <c r="F32" s="30"/>
      <c r="G32" s="29">
        <v>4.17</v>
      </c>
      <c r="H32" s="30"/>
      <c r="I32" s="55">
        <v>1370.35</v>
      </c>
      <c r="J32" s="56"/>
      <c r="K32" s="57"/>
    </row>
    <row r="33" spans="1:11" x14ac:dyDescent="0.25">
      <c r="A33" s="8">
        <v>37742</v>
      </c>
      <c r="B33" s="7" t="s">
        <v>46</v>
      </c>
      <c r="C33" s="40"/>
      <c r="D33" s="41"/>
      <c r="E33" s="40"/>
      <c r="F33" s="41"/>
      <c r="G33" s="40"/>
      <c r="H33" s="41"/>
      <c r="I33" s="50">
        <v>1744.11</v>
      </c>
      <c r="J33" s="61"/>
      <c r="K33" s="51"/>
    </row>
    <row r="34" spans="1:11" ht="18" x14ac:dyDescent="0.25">
      <c r="A34" s="9" t="s">
        <v>47</v>
      </c>
      <c r="B34" s="9" t="s">
        <v>48</v>
      </c>
      <c r="C34" s="27" t="s">
        <v>20</v>
      </c>
      <c r="D34" s="28"/>
      <c r="E34" s="29">
        <v>1.86</v>
      </c>
      <c r="F34" s="30"/>
      <c r="G34" s="29">
        <v>312.95999999999998</v>
      </c>
      <c r="H34" s="30"/>
      <c r="I34" s="29">
        <v>582.11</v>
      </c>
      <c r="J34" s="54"/>
      <c r="K34" s="30"/>
    </row>
    <row r="35" spans="1:11" ht="45" x14ac:dyDescent="0.25">
      <c r="A35" s="9" t="s">
        <v>49</v>
      </c>
      <c r="B35" s="9" t="s">
        <v>50</v>
      </c>
      <c r="C35" s="27" t="s">
        <v>15</v>
      </c>
      <c r="D35" s="28"/>
      <c r="E35" s="29">
        <v>5.09</v>
      </c>
      <c r="F35" s="30"/>
      <c r="G35" s="29">
        <v>42.46</v>
      </c>
      <c r="H35" s="30"/>
      <c r="I35" s="29">
        <v>216.12</v>
      </c>
      <c r="J35" s="54"/>
      <c r="K35" s="30"/>
    </row>
    <row r="36" spans="1:11" ht="36" x14ac:dyDescent="0.25">
      <c r="A36" s="9" t="s">
        <v>51</v>
      </c>
      <c r="B36" s="9" t="s">
        <v>52</v>
      </c>
      <c r="C36" s="27" t="s">
        <v>38</v>
      </c>
      <c r="D36" s="28"/>
      <c r="E36" s="29">
        <v>226.83</v>
      </c>
      <c r="F36" s="30"/>
      <c r="G36" s="29">
        <v>4.17</v>
      </c>
      <c r="H36" s="30"/>
      <c r="I36" s="29">
        <v>945.88</v>
      </c>
      <c r="J36" s="54"/>
      <c r="K36" s="30"/>
    </row>
    <row r="37" spans="1:11" ht="27" x14ac:dyDescent="0.25">
      <c r="A37" s="8">
        <v>38108</v>
      </c>
      <c r="B37" s="7" t="s">
        <v>53</v>
      </c>
      <c r="C37" s="40"/>
      <c r="D37" s="41"/>
      <c r="E37" s="40"/>
      <c r="F37" s="41"/>
      <c r="G37" s="40"/>
      <c r="H37" s="41"/>
      <c r="I37" s="50">
        <v>2870.21</v>
      </c>
      <c r="J37" s="61"/>
      <c r="K37" s="51"/>
    </row>
    <row r="38" spans="1:11" ht="36" x14ac:dyDescent="0.25">
      <c r="A38" s="9" t="s">
        <v>54</v>
      </c>
      <c r="B38" s="9" t="s">
        <v>55</v>
      </c>
      <c r="C38" s="27" t="s">
        <v>20</v>
      </c>
      <c r="D38" s="28"/>
      <c r="E38" s="29">
        <v>1.98</v>
      </c>
      <c r="F38" s="30"/>
      <c r="G38" s="29">
        <v>301.01</v>
      </c>
      <c r="H38" s="30"/>
      <c r="I38" s="29">
        <v>596</v>
      </c>
      <c r="J38" s="54"/>
      <c r="K38" s="30"/>
    </row>
    <row r="39" spans="1:11" ht="63" x14ac:dyDescent="0.25">
      <c r="A39" s="9" t="s">
        <v>56</v>
      </c>
      <c r="B39" s="9" t="s">
        <v>57</v>
      </c>
      <c r="C39" s="27" t="s">
        <v>15</v>
      </c>
      <c r="D39" s="28"/>
      <c r="E39" s="29">
        <v>30.93</v>
      </c>
      <c r="F39" s="30"/>
      <c r="G39" s="29">
        <v>30.51</v>
      </c>
      <c r="H39" s="30"/>
      <c r="I39" s="29">
        <v>943.67</v>
      </c>
      <c r="J39" s="54"/>
      <c r="K39" s="30"/>
    </row>
    <row r="40" spans="1:11" ht="54" x14ac:dyDescent="0.25">
      <c r="A40" s="9" t="s">
        <v>58</v>
      </c>
      <c r="B40" s="9" t="s">
        <v>59</v>
      </c>
      <c r="C40" s="27" t="s">
        <v>38</v>
      </c>
      <c r="D40" s="28"/>
      <c r="E40" s="29">
        <v>205.48</v>
      </c>
      <c r="F40" s="30"/>
      <c r="G40" s="29">
        <v>4.17</v>
      </c>
      <c r="H40" s="30"/>
      <c r="I40" s="29">
        <v>856.85</v>
      </c>
      <c r="J40" s="54"/>
      <c r="K40" s="30"/>
    </row>
    <row r="41" spans="1:11" ht="54" x14ac:dyDescent="0.25">
      <c r="A41" s="9" t="s">
        <v>60</v>
      </c>
      <c r="B41" s="9" t="s">
        <v>61</v>
      </c>
      <c r="C41" s="27" t="s">
        <v>62</v>
      </c>
      <c r="D41" s="28"/>
      <c r="E41" s="29">
        <v>248</v>
      </c>
      <c r="F41" s="30"/>
      <c r="G41" s="29">
        <v>1.91</v>
      </c>
      <c r="H41" s="30"/>
      <c r="I41" s="29">
        <v>473.68</v>
      </c>
      <c r="J41" s="54"/>
      <c r="K41" s="30"/>
    </row>
    <row r="42" spans="1:11" x14ac:dyDescent="0.25">
      <c r="A42" s="6">
        <v>1.06</v>
      </c>
      <c r="B42" s="7" t="s">
        <v>63</v>
      </c>
      <c r="C42" s="40"/>
      <c r="D42" s="41"/>
      <c r="E42" s="40"/>
      <c r="F42" s="41"/>
      <c r="G42" s="40"/>
      <c r="H42" s="41"/>
      <c r="I42" s="50">
        <v>2571.7399999999998</v>
      </c>
      <c r="J42" s="61"/>
      <c r="K42" s="51"/>
    </row>
    <row r="43" spans="1:11" ht="36" x14ac:dyDescent="0.25">
      <c r="A43" s="8">
        <v>37043</v>
      </c>
      <c r="B43" s="9" t="s">
        <v>64</v>
      </c>
      <c r="C43" s="27" t="s">
        <v>15</v>
      </c>
      <c r="D43" s="28"/>
      <c r="E43" s="29">
        <v>66.66</v>
      </c>
      <c r="F43" s="30"/>
      <c r="G43" s="29">
        <v>38.58</v>
      </c>
      <c r="H43" s="30"/>
      <c r="I43" s="55">
        <v>2571.7399999999998</v>
      </c>
      <c r="J43" s="56"/>
      <c r="K43" s="57"/>
    </row>
    <row r="44" spans="1:11" ht="18" x14ac:dyDescent="0.25">
      <c r="A44" s="5">
        <v>2</v>
      </c>
      <c r="B44" s="4" t="s">
        <v>65</v>
      </c>
      <c r="C44" s="58"/>
      <c r="D44" s="59"/>
      <c r="E44" s="58"/>
      <c r="F44" s="59"/>
      <c r="G44" s="58"/>
      <c r="H44" s="59"/>
      <c r="I44" s="44">
        <v>7969.46</v>
      </c>
      <c r="J44" s="60"/>
      <c r="K44" s="45"/>
    </row>
    <row r="45" spans="1:11" ht="54" x14ac:dyDescent="0.25">
      <c r="A45" s="6">
        <v>2.0099999999999998</v>
      </c>
      <c r="B45" s="7" t="s">
        <v>66</v>
      </c>
      <c r="C45" s="40"/>
      <c r="D45" s="41"/>
      <c r="E45" s="40"/>
      <c r="F45" s="41"/>
      <c r="G45" s="40"/>
      <c r="H45" s="41"/>
      <c r="I45" s="50">
        <v>2439.19</v>
      </c>
      <c r="J45" s="61"/>
      <c r="K45" s="51"/>
    </row>
    <row r="46" spans="1:11" ht="27" x14ac:dyDescent="0.25">
      <c r="A46" s="8">
        <v>36893</v>
      </c>
      <c r="B46" s="9" t="s">
        <v>67</v>
      </c>
      <c r="C46" s="27" t="s">
        <v>15</v>
      </c>
      <c r="D46" s="28"/>
      <c r="E46" s="29">
        <v>86.05</v>
      </c>
      <c r="F46" s="30"/>
      <c r="G46" s="29">
        <v>14.2</v>
      </c>
      <c r="H46" s="30"/>
      <c r="I46" s="55">
        <v>1221.9100000000001</v>
      </c>
      <c r="J46" s="56"/>
      <c r="K46" s="57"/>
    </row>
    <row r="47" spans="1:11" ht="36" x14ac:dyDescent="0.25">
      <c r="A47" s="8">
        <v>37258</v>
      </c>
      <c r="B47" s="9" t="s">
        <v>68</v>
      </c>
      <c r="C47" s="27" t="s">
        <v>15</v>
      </c>
      <c r="D47" s="28"/>
      <c r="E47" s="29">
        <v>36.270000000000003</v>
      </c>
      <c r="F47" s="30"/>
      <c r="G47" s="29">
        <v>14.17</v>
      </c>
      <c r="H47" s="30"/>
      <c r="I47" s="29">
        <v>513.95000000000005</v>
      </c>
      <c r="J47" s="54"/>
      <c r="K47" s="30"/>
    </row>
    <row r="48" spans="1:11" ht="63" x14ac:dyDescent="0.25">
      <c r="A48" s="8">
        <v>37623</v>
      </c>
      <c r="B48" s="9" t="s">
        <v>69</v>
      </c>
      <c r="C48" s="27" t="s">
        <v>70</v>
      </c>
      <c r="D48" s="28"/>
      <c r="E48" s="29">
        <v>41.5</v>
      </c>
      <c r="F48" s="30"/>
      <c r="G48" s="29">
        <v>8.6999999999999993</v>
      </c>
      <c r="H48" s="30"/>
      <c r="I48" s="29">
        <v>361.05</v>
      </c>
      <c r="J48" s="54"/>
      <c r="K48" s="30"/>
    </row>
    <row r="50" spans="1:10" ht="18" x14ac:dyDescent="0.25">
      <c r="A50" s="4" t="s">
        <v>3</v>
      </c>
      <c r="B50" s="4" t="s">
        <v>4</v>
      </c>
      <c r="C50" s="46" t="s">
        <v>5</v>
      </c>
      <c r="D50" s="47"/>
      <c r="E50" s="46" t="s">
        <v>6</v>
      </c>
      <c r="F50" s="47"/>
      <c r="G50" s="46" t="s">
        <v>7</v>
      </c>
      <c r="H50" s="47"/>
      <c r="I50" s="46" t="s">
        <v>8</v>
      </c>
      <c r="J50" s="47"/>
    </row>
    <row r="51" spans="1:10" ht="27" x14ac:dyDescent="0.25">
      <c r="A51" s="8">
        <v>37988</v>
      </c>
      <c r="B51" s="9" t="s">
        <v>71</v>
      </c>
      <c r="C51" s="27" t="s">
        <v>15</v>
      </c>
      <c r="D51" s="28"/>
      <c r="E51" s="29">
        <v>2.1</v>
      </c>
      <c r="F51" s="30"/>
      <c r="G51" s="29">
        <v>19.68</v>
      </c>
      <c r="H51" s="30"/>
      <c r="I51" s="29">
        <v>41.33</v>
      </c>
      <c r="J51" s="30"/>
    </row>
    <row r="52" spans="1:10" ht="27" x14ac:dyDescent="0.25">
      <c r="A52" s="8">
        <v>38354</v>
      </c>
      <c r="B52" s="9" t="s">
        <v>72</v>
      </c>
      <c r="C52" s="27" t="s">
        <v>15</v>
      </c>
      <c r="D52" s="28"/>
      <c r="E52" s="29">
        <v>8.06</v>
      </c>
      <c r="F52" s="30"/>
      <c r="G52" s="29">
        <v>37.340000000000003</v>
      </c>
      <c r="H52" s="30"/>
      <c r="I52" s="29">
        <v>300.95999999999998</v>
      </c>
      <c r="J52" s="30"/>
    </row>
    <row r="53" spans="1:10" ht="18" x14ac:dyDescent="0.25">
      <c r="A53" s="6">
        <v>2.02</v>
      </c>
      <c r="B53" s="7" t="s">
        <v>73</v>
      </c>
      <c r="C53" s="40"/>
      <c r="D53" s="41"/>
      <c r="E53" s="40"/>
      <c r="F53" s="41"/>
      <c r="G53" s="40"/>
      <c r="H53" s="41"/>
      <c r="I53" s="38">
        <v>962.09</v>
      </c>
      <c r="J53" s="39"/>
    </row>
    <row r="54" spans="1:10" ht="18" x14ac:dyDescent="0.25">
      <c r="A54" s="8">
        <v>36924</v>
      </c>
      <c r="B54" s="9" t="s">
        <v>74</v>
      </c>
      <c r="C54" s="27" t="s">
        <v>15</v>
      </c>
      <c r="D54" s="28"/>
      <c r="E54" s="29">
        <v>35.19</v>
      </c>
      <c r="F54" s="30"/>
      <c r="G54" s="29">
        <v>27.34</v>
      </c>
      <c r="H54" s="30"/>
      <c r="I54" s="29">
        <v>962.09</v>
      </c>
      <c r="J54" s="30"/>
    </row>
    <row r="55" spans="1:10" ht="27" x14ac:dyDescent="0.25">
      <c r="A55" s="6">
        <v>2.0299999999999998</v>
      </c>
      <c r="B55" s="7" t="s">
        <v>75</v>
      </c>
      <c r="C55" s="36"/>
      <c r="D55" s="37"/>
      <c r="E55" s="36"/>
      <c r="F55" s="37"/>
      <c r="G55" s="36"/>
      <c r="H55" s="37"/>
      <c r="I55" s="50">
        <v>1208.93</v>
      </c>
      <c r="J55" s="51"/>
    </row>
    <row r="56" spans="1:10" ht="54" x14ac:dyDescent="0.25">
      <c r="A56" s="8">
        <v>36952</v>
      </c>
      <c r="B56" s="9" t="s">
        <v>76</v>
      </c>
      <c r="C56" s="27" t="s">
        <v>15</v>
      </c>
      <c r="D56" s="28"/>
      <c r="E56" s="29">
        <v>24.17</v>
      </c>
      <c r="F56" s="30"/>
      <c r="G56" s="29">
        <v>28.84</v>
      </c>
      <c r="H56" s="30"/>
      <c r="I56" s="29">
        <v>697.06</v>
      </c>
      <c r="J56" s="30"/>
    </row>
    <row r="57" spans="1:10" ht="45" x14ac:dyDescent="0.25">
      <c r="A57" s="8">
        <v>37317</v>
      </c>
      <c r="B57" s="9" t="s">
        <v>77</v>
      </c>
      <c r="C57" s="27" t="s">
        <v>15</v>
      </c>
      <c r="D57" s="28"/>
      <c r="E57" s="29">
        <v>9.58</v>
      </c>
      <c r="F57" s="30"/>
      <c r="G57" s="29">
        <v>46.94</v>
      </c>
      <c r="H57" s="30"/>
      <c r="I57" s="29">
        <v>449.69</v>
      </c>
      <c r="J57" s="30"/>
    </row>
    <row r="58" spans="1:10" ht="27" x14ac:dyDescent="0.25">
      <c r="A58" s="8">
        <v>37682</v>
      </c>
      <c r="B58" s="9" t="s">
        <v>78</v>
      </c>
      <c r="C58" s="27" t="s">
        <v>15</v>
      </c>
      <c r="D58" s="28"/>
      <c r="E58" s="29">
        <v>1.42</v>
      </c>
      <c r="F58" s="30"/>
      <c r="G58" s="29">
        <v>43.79</v>
      </c>
      <c r="H58" s="30"/>
      <c r="I58" s="29">
        <v>62.18</v>
      </c>
      <c r="J58" s="30"/>
    </row>
    <row r="59" spans="1:10" ht="18" x14ac:dyDescent="0.25">
      <c r="A59" s="6">
        <v>2.04</v>
      </c>
      <c r="B59" s="7" t="s">
        <v>79</v>
      </c>
      <c r="C59" s="40"/>
      <c r="D59" s="41"/>
      <c r="E59" s="40"/>
      <c r="F59" s="41"/>
      <c r="G59" s="40"/>
      <c r="H59" s="41"/>
      <c r="I59" s="38">
        <v>56.98</v>
      </c>
      <c r="J59" s="39"/>
    </row>
    <row r="60" spans="1:10" ht="27" x14ac:dyDescent="0.25">
      <c r="A60" s="8">
        <v>36983</v>
      </c>
      <c r="B60" s="9" t="s">
        <v>80</v>
      </c>
      <c r="C60" s="27" t="s">
        <v>81</v>
      </c>
      <c r="D60" s="28"/>
      <c r="E60" s="29">
        <v>7</v>
      </c>
      <c r="F60" s="30"/>
      <c r="G60" s="29">
        <v>8.14</v>
      </c>
      <c r="H60" s="30"/>
      <c r="I60" s="29">
        <v>56.98</v>
      </c>
      <c r="J60" s="30"/>
    </row>
    <row r="61" spans="1:10" ht="27" x14ac:dyDescent="0.25">
      <c r="A61" s="6">
        <v>2.0499999999999998</v>
      </c>
      <c r="B61" s="7" t="s">
        <v>82</v>
      </c>
      <c r="C61" s="36"/>
      <c r="D61" s="37"/>
      <c r="E61" s="36"/>
      <c r="F61" s="37"/>
      <c r="G61" s="36"/>
      <c r="H61" s="37"/>
      <c r="I61" s="50">
        <v>1040</v>
      </c>
      <c r="J61" s="51"/>
    </row>
    <row r="62" spans="1:10" ht="45" x14ac:dyDescent="0.25">
      <c r="A62" s="8">
        <v>37013</v>
      </c>
      <c r="B62" s="9" t="s">
        <v>83</v>
      </c>
      <c r="C62" s="52">
        <v>1</v>
      </c>
      <c r="D62" s="53"/>
      <c r="E62" s="29">
        <v>2</v>
      </c>
      <c r="F62" s="30"/>
      <c r="G62" s="29">
        <v>380</v>
      </c>
      <c r="H62" s="30"/>
      <c r="I62" s="29">
        <v>760</v>
      </c>
      <c r="J62" s="30"/>
    </row>
    <row r="63" spans="1:10" ht="45" x14ac:dyDescent="0.25">
      <c r="A63" s="8">
        <v>37378</v>
      </c>
      <c r="B63" s="9" t="s">
        <v>84</v>
      </c>
      <c r="C63" s="52">
        <v>1</v>
      </c>
      <c r="D63" s="53"/>
      <c r="E63" s="29">
        <v>1</v>
      </c>
      <c r="F63" s="30"/>
      <c r="G63" s="29">
        <v>280</v>
      </c>
      <c r="H63" s="30"/>
      <c r="I63" s="29">
        <v>280</v>
      </c>
      <c r="J63" s="30"/>
    </row>
    <row r="64" spans="1:10" ht="18" x14ac:dyDescent="0.25">
      <c r="A64" s="6">
        <v>2.06</v>
      </c>
      <c r="B64" s="7" t="s">
        <v>85</v>
      </c>
      <c r="C64" s="40"/>
      <c r="D64" s="41"/>
      <c r="E64" s="40"/>
      <c r="F64" s="41"/>
      <c r="G64" s="40"/>
      <c r="H64" s="41"/>
      <c r="I64" s="38">
        <v>136.97</v>
      </c>
      <c r="J64" s="39"/>
    </row>
    <row r="65" spans="1:10" ht="27" x14ac:dyDescent="0.25">
      <c r="A65" s="8">
        <v>37044</v>
      </c>
      <c r="B65" s="9" t="s">
        <v>86</v>
      </c>
      <c r="C65" s="27" t="s">
        <v>87</v>
      </c>
      <c r="D65" s="28"/>
      <c r="E65" s="29">
        <v>9</v>
      </c>
      <c r="F65" s="30"/>
      <c r="G65" s="29">
        <v>4.46</v>
      </c>
      <c r="H65" s="30"/>
      <c r="I65" s="29">
        <v>40.14</v>
      </c>
      <c r="J65" s="30"/>
    </row>
    <row r="66" spans="1:10" ht="45" x14ac:dyDescent="0.25">
      <c r="A66" s="8">
        <v>37409</v>
      </c>
      <c r="B66" s="9" t="s">
        <v>88</v>
      </c>
      <c r="C66" s="27" t="s">
        <v>87</v>
      </c>
      <c r="D66" s="28"/>
      <c r="E66" s="29">
        <v>2</v>
      </c>
      <c r="F66" s="30"/>
      <c r="G66" s="29">
        <v>35.229999999999997</v>
      </c>
      <c r="H66" s="30"/>
      <c r="I66" s="29">
        <v>70.459999999999994</v>
      </c>
      <c r="J66" s="30"/>
    </row>
    <row r="67" spans="1:10" ht="27" x14ac:dyDescent="0.25">
      <c r="A67" s="8">
        <v>37774</v>
      </c>
      <c r="B67" s="9" t="s">
        <v>89</v>
      </c>
      <c r="C67" s="27" t="s">
        <v>87</v>
      </c>
      <c r="D67" s="28"/>
      <c r="E67" s="29">
        <v>1</v>
      </c>
      <c r="F67" s="30"/>
      <c r="G67" s="29">
        <v>26.37</v>
      </c>
      <c r="H67" s="30"/>
      <c r="I67" s="29">
        <v>26.37</v>
      </c>
      <c r="J67" s="30"/>
    </row>
    <row r="68" spans="1:10" ht="45" x14ac:dyDescent="0.25">
      <c r="A68" s="6">
        <v>2.0699999999999998</v>
      </c>
      <c r="B68" s="7" t="s">
        <v>90</v>
      </c>
      <c r="C68" s="40"/>
      <c r="D68" s="41"/>
      <c r="E68" s="40"/>
      <c r="F68" s="41"/>
      <c r="G68" s="40"/>
      <c r="H68" s="41"/>
      <c r="I68" s="38">
        <v>815</v>
      </c>
      <c r="J68" s="39"/>
    </row>
    <row r="69" spans="1:10" ht="45" x14ac:dyDescent="0.25">
      <c r="A69" s="8">
        <v>37074</v>
      </c>
      <c r="B69" s="9" t="s">
        <v>91</v>
      </c>
      <c r="C69" s="27" t="s">
        <v>87</v>
      </c>
      <c r="D69" s="28"/>
      <c r="E69" s="29">
        <v>3</v>
      </c>
      <c r="F69" s="30"/>
      <c r="G69" s="29">
        <v>250</v>
      </c>
      <c r="H69" s="30"/>
      <c r="I69" s="29">
        <v>750</v>
      </c>
      <c r="J69" s="30"/>
    </row>
    <row r="70" spans="1:10" ht="45" x14ac:dyDescent="0.25">
      <c r="A70" s="8">
        <v>37439</v>
      </c>
      <c r="B70" s="9" t="s">
        <v>92</v>
      </c>
      <c r="C70" s="27" t="s">
        <v>87</v>
      </c>
      <c r="D70" s="28"/>
      <c r="E70" s="29">
        <v>1</v>
      </c>
      <c r="F70" s="30"/>
      <c r="G70" s="29">
        <v>65</v>
      </c>
      <c r="H70" s="30"/>
      <c r="I70" s="29">
        <v>65</v>
      </c>
      <c r="J70" s="30"/>
    </row>
    <row r="71" spans="1:10" x14ac:dyDescent="0.25">
      <c r="A71" s="6">
        <v>2.08</v>
      </c>
      <c r="B71" s="7" t="s">
        <v>93</v>
      </c>
      <c r="C71" s="40"/>
      <c r="D71" s="41"/>
      <c r="E71" s="40"/>
      <c r="F71" s="41"/>
      <c r="G71" s="40"/>
      <c r="H71" s="41"/>
      <c r="I71" s="38">
        <v>969.14</v>
      </c>
      <c r="J71" s="39"/>
    </row>
    <row r="72" spans="1:10" ht="27" x14ac:dyDescent="0.25">
      <c r="A72" s="8">
        <v>37105</v>
      </c>
      <c r="B72" s="9" t="s">
        <v>94</v>
      </c>
      <c r="C72" s="27" t="s">
        <v>15</v>
      </c>
      <c r="D72" s="28"/>
      <c r="E72" s="29">
        <v>35.19</v>
      </c>
      <c r="F72" s="30"/>
      <c r="G72" s="29">
        <v>5.19</v>
      </c>
      <c r="H72" s="30"/>
      <c r="I72" s="29">
        <v>182.64</v>
      </c>
      <c r="J72" s="30"/>
    </row>
    <row r="73" spans="1:10" ht="45" x14ac:dyDescent="0.25">
      <c r="A73" s="8">
        <v>37470</v>
      </c>
      <c r="B73" s="9" t="s">
        <v>95</v>
      </c>
      <c r="C73" s="27" t="s">
        <v>15</v>
      </c>
      <c r="D73" s="28"/>
      <c r="E73" s="29">
        <v>36.270000000000003</v>
      </c>
      <c r="F73" s="30"/>
      <c r="G73" s="29">
        <v>7.26</v>
      </c>
      <c r="H73" s="30"/>
      <c r="I73" s="29">
        <v>263.32</v>
      </c>
      <c r="J73" s="30"/>
    </row>
    <row r="74" spans="1:10" ht="36" x14ac:dyDescent="0.25">
      <c r="A74" s="8">
        <v>37835</v>
      </c>
      <c r="B74" s="9" t="s">
        <v>96</v>
      </c>
      <c r="C74" s="27" t="s">
        <v>15</v>
      </c>
      <c r="D74" s="28"/>
      <c r="E74" s="29">
        <v>86.05</v>
      </c>
      <c r="F74" s="30"/>
      <c r="G74" s="29">
        <v>6.08</v>
      </c>
      <c r="H74" s="30"/>
      <c r="I74" s="29">
        <v>523.17999999999995</v>
      </c>
      <c r="J74" s="30"/>
    </row>
    <row r="75" spans="1:10" ht="18" x14ac:dyDescent="0.25">
      <c r="A75" s="6">
        <v>2.09</v>
      </c>
      <c r="B75" s="7" t="s">
        <v>97</v>
      </c>
      <c r="C75" s="40"/>
      <c r="D75" s="41"/>
      <c r="E75" s="40"/>
      <c r="F75" s="41"/>
      <c r="G75" s="40"/>
      <c r="H75" s="41"/>
      <c r="I75" s="38">
        <v>255.74</v>
      </c>
      <c r="J75" s="39"/>
    </row>
    <row r="76" spans="1:10" ht="18" x14ac:dyDescent="0.25">
      <c r="A76" s="8">
        <v>37136</v>
      </c>
      <c r="B76" s="9" t="s">
        <v>98</v>
      </c>
      <c r="C76" s="27" t="s">
        <v>15</v>
      </c>
      <c r="D76" s="28"/>
      <c r="E76" s="29">
        <v>40.21</v>
      </c>
      <c r="F76" s="30"/>
      <c r="G76" s="29">
        <v>6.36</v>
      </c>
      <c r="H76" s="30"/>
      <c r="I76" s="29">
        <v>255.74</v>
      </c>
      <c r="J76" s="30"/>
    </row>
    <row r="77" spans="1:10" x14ac:dyDescent="0.25">
      <c r="A77" s="6">
        <v>2.1</v>
      </c>
      <c r="B77" s="7" t="s">
        <v>99</v>
      </c>
      <c r="C77" s="36"/>
      <c r="D77" s="37"/>
      <c r="E77" s="36"/>
      <c r="F77" s="37"/>
      <c r="G77" s="36"/>
      <c r="H77" s="37"/>
      <c r="I77" s="38">
        <v>85.42</v>
      </c>
      <c r="J77" s="39"/>
    </row>
    <row r="78" spans="1:10" ht="27" x14ac:dyDescent="0.25">
      <c r="A78" s="8">
        <v>37166</v>
      </c>
      <c r="B78" s="9" t="s">
        <v>100</v>
      </c>
      <c r="C78" s="27" t="s">
        <v>12</v>
      </c>
      <c r="D78" s="28"/>
      <c r="E78" s="29">
        <v>1</v>
      </c>
      <c r="F78" s="30"/>
      <c r="G78" s="29">
        <v>85.42</v>
      </c>
      <c r="H78" s="30"/>
      <c r="I78" s="29">
        <v>85.42</v>
      </c>
      <c r="J78" s="30"/>
    </row>
    <row r="79" spans="1:10" ht="36" x14ac:dyDescent="0.25">
      <c r="A79" s="10">
        <v>3</v>
      </c>
      <c r="B79" s="4" t="s">
        <v>101</v>
      </c>
      <c r="C79" s="42"/>
      <c r="D79" s="43"/>
      <c r="E79" s="42"/>
      <c r="F79" s="43"/>
      <c r="G79" s="42"/>
      <c r="H79" s="43"/>
      <c r="I79" s="44">
        <v>3177.87</v>
      </c>
      <c r="J79" s="45"/>
    </row>
    <row r="80" spans="1:10" ht="54" x14ac:dyDescent="0.25">
      <c r="A80" s="6">
        <v>3.01</v>
      </c>
      <c r="B80" s="7" t="s">
        <v>102</v>
      </c>
      <c r="C80" s="40"/>
      <c r="D80" s="41"/>
      <c r="E80" s="40"/>
      <c r="F80" s="41"/>
      <c r="G80" s="40"/>
      <c r="H80" s="41"/>
      <c r="I80" s="38">
        <v>629.54</v>
      </c>
      <c r="J80" s="39"/>
    </row>
    <row r="81" spans="1:10" ht="27" x14ac:dyDescent="0.25">
      <c r="A81" s="8">
        <v>36894</v>
      </c>
      <c r="B81" s="9" t="s">
        <v>103</v>
      </c>
      <c r="C81" s="27" t="s">
        <v>87</v>
      </c>
      <c r="D81" s="28"/>
      <c r="E81" s="29">
        <v>1</v>
      </c>
      <c r="F81" s="30"/>
      <c r="G81" s="29">
        <v>265.83</v>
      </c>
      <c r="H81" s="30"/>
      <c r="I81" s="29">
        <v>265.83</v>
      </c>
      <c r="J81" s="30"/>
    </row>
    <row r="82" spans="1:10" ht="18" x14ac:dyDescent="0.25">
      <c r="A82" s="8">
        <v>37259</v>
      </c>
      <c r="B82" s="9" t="s">
        <v>104</v>
      </c>
      <c r="C82" s="27" t="s">
        <v>87</v>
      </c>
      <c r="D82" s="28"/>
      <c r="E82" s="29">
        <v>1</v>
      </c>
      <c r="F82" s="30"/>
      <c r="G82" s="29">
        <v>137.53</v>
      </c>
      <c r="H82" s="30"/>
      <c r="I82" s="29">
        <v>137.53</v>
      </c>
      <c r="J82" s="30"/>
    </row>
    <row r="83" spans="1:10" ht="36" x14ac:dyDescent="0.25">
      <c r="A83" s="8">
        <v>37624</v>
      </c>
      <c r="B83" s="9" t="s">
        <v>105</v>
      </c>
      <c r="C83" s="27" t="s">
        <v>87</v>
      </c>
      <c r="D83" s="28"/>
      <c r="E83" s="29">
        <v>1</v>
      </c>
      <c r="F83" s="30"/>
      <c r="G83" s="29">
        <v>161.19999999999999</v>
      </c>
      <c r="H83" s="30"/>
      <c r="I83" s="29">
        <v>161.19999999999999</v>
      </c>
      <c r="J83" s="30"/>
    </row>
    <row r="84" spans="1:10" ht="36" x14ac:dyDescent="0.25">
      <c r="A84" s="8">
        <v>37989</v>
      </c>
      <c r="B84" s="9" t="s">
        <v>106</v>
      </c>
      <c r="C84" s="27" t="s">
        <v>62</v>
      </c>
      <c r="D84" s="28"/>
      <c r="E84" s="29">
        <v>1</v>
      </c>
      <c r="F84" s="30"/>
      <c r="G84" s="29">
        <v>64.98</v>
      </c>
      <c r="H84" s="30"/>
      <c r="I84" s="29">
        <v>64.98</v>
      </c>
      <c r="J84" s="30"/>
    </row>
    <row r="85" spans="1:10" ht="27" x14ac:dyDescent="0.25">
      <c r="A85" s="6">
        <v>3.02</v>
      </c>
      <c r="B85" s="7" t="s">
        <v>107</v>
      </c>
      <c r="C85" s="40"/>
      <c r="D85" s="41"/>
      <c r="E85" s="40"/>
      <c r="F85" s="41"/>
      <c r="G85" s="40"/>
      <c r="H85" s="41"/>
      <c r="I85" s="50">
        <v>1466.35</v>
      </c>
      <c r="J85" s="51"/>
    </row>
    <row r="86" spans="1:10" ht="45" x14ac:dyDescent="0.25">
      <c r="A86" s="8">
        <v>36925</v>
      </c>
      <c r="B86" s="9" t="s">
        <v>108</v>
      </c>
      <c r="C86" s="27" t="s">
        <v>109</v>
      </c>
      <c r="D86" s="28"/>
      <c r="E86" s="29">
        <v>7</v>
      </c>
      <c r="F86" s="30"/>
      <c r="G86" s="29">
        <v>45.06</v>
      </c>
      <c r="H86" s="30"/>
      <c r="I86" s="29">
        <v>315.42</v>
      </c>
      <c r="J86" s="30"/>
    </row>
    <row r="87" spans="1:10" ht="45" x14ac:dyDescent="0.25">
      <c r="A87" s="8">
        <v>37290</v>
      </c>
      <c r="B87" s="9" t="s">
        <v>110</v>
      </c>
      <c r="C87" s="27" t="s">
        <v>109</v>
      </c>
      <c r="D87" s="28"/>
      <c r="E87" s="29">
        <v>3</v>
      </c>
      <c r="F87" s="30"/>
      <c r="G87" s="29">
        <v>59.03</v>
      </c>
      <c r="H87" s="30"/>
      <c r="I87" s="29">
        <v>177.09</v>
      </c>
      <c r="J87" s="30"/>
    </row>
    <row r="88" spans="1:10" ht="45" x14ac:dyDescent="0.25">
      <c r="A88" s="8">
        <v>37655</v>
      </c>
      <c r="B88" s="9" t="s">
        <v>111</v>
      </c>
      <c r="C88" s="27" t="s">
        <v>109</v>
      </c>
      <c r="D88" s="28"/>
      <c r="E88" s="29">
        <v>1</v>
      </c>
      <c r="F88" s="30"/>
      <c r="G88" s="29">
        <v>37.35</v>
      </c>
      <c r="H88" s="30"/>
      <c r="I88" s="29">
        <v>37.35</v>
      </c>
      <c r="J88" s="30"/>
    </row>
    <row r="89" spans="1:10" ht="54" x14ac:dyDescent="0.25">
      <c r="A89" s="8">
        <v>38020</v>
      </c>
      <c r="B89" s="9" t="s">
        <v>112</v>
      </c>
      <c r="C89" s="27" t="s">
        <v>109</v>
      </c>
      <c r="D89" s="28"/>
      <c r="E89" s="29">
        <v>2</v>
      </c>
      <c r="F89" s="30"/>
      <c r="G89" s="29">
        <v>31.85</v>
      </c>
      <c r="H89" s="30"/>
      <c r="I89" s="29">
        <v>63.7</v>
      </c>
      <c r="J89" s="30"/>
    </row>
    <row r="90" spans="1:10" ht="18" x14ac:dyDescent="0.25">
      <c r="A90" s="8">
        <v>38386</v>
      </c>
      <c r="B90" s="9" t="s">
        <v>113</v>
      </c>
      <c r="C90" s="27" t="s">
        <v>114</v>
      </c>
      <c r="D90" s="28"/>
      <c r="E90" s="29">
        <v>20</v>
      </c>
      <c r="F90" s="30"/>
      <c r="G90" s="29">
        <v>20.67</v>
      </c>
      <c r="H90" s="30"/>
      <c r="I90" s="29">
        <v>413.4</v>
      </c>
      <c r="J90" s="30"/>
    </row>
    <row r="91" spans="1:10" ht="18" x14ac:dyDescent="0.25">
      <c r="A91" s="8">
        <v>38751</v>
      </c>
      <c r="B91" s="9" t="s">
        <v>115</v>
      </c>
      <c r="C91" s="27" t="s">
        <v>114</v>
      </c>
      <c r="D91" s="28"/>
      <c r="E91" s="29">
        <v>17</v>
      </c>
      <c r="F91" s="30"/>
      <c r="G91" s="29">
        <v>16.18</v>
      </c>
      <c r="H91" s="30"/>
      <c r="I91" s="29">
        <v>275.06</v>
      </c>
      <c r="J91" s="30"/>
    </row>
    <row r="92" spans="1:10" ht="63" x14ac:dyDescent="0.25">
      <c r="A92" s="8">
        <v>39116</v>
      </c>
      <c r="B92" s="9" t="s">
        <v>116</v>
      </c>
      <c r="C92" s="27" t="s">
        <v>62</v>
      </c>
      <c r="D92" s="28"/>
      <c r="E92" s="29">
        <v>1</v>
      </c>
      <c r="F92" s="30"/>
      <c r="G92" s="29">
        <v>17.010000000000002</v>
      </c>
      <c r="H92" s="30"/>
      <c r="I92" s="29">
        <v>17.010000000000002</v>
      </c>
      <c r="J92" s="30"/>
    </row>
    <row r="93" spans="1:10" ht="63" x14ac:dyDescent="0.25">
      <c r="A93" s="8">
        <v>39481</v>
      </c>
      <c r="B93" s="9" t="s">
        <v>117</v>
      </c>
      <c r="C93" s="27" t="s">
        <v>87</v>
      </c>
      <c r="D93" s="28"/>
      <c r="E93" s="29">
        <v>1</v>
      </c>
      <c r="F93" s="30"/>
      <c r="G93" s="29">
        <v>17.16</v>
      </c>
      <c r="H93" s="30"/>
      <c r="I93" s="29">
        <v>17.16</v>
      </c>
      <c r="J93" s="30"/>
    </row>
    <row r="94" spans="1:10" ht="63" x14ac:dyDescent="0.25">
      <c r="A94" s="8">
        <v>39847</v>
      </c>
      <c r="B94" s="9" t="s">
        <v>118</v>
      </c>
      <c r="C94" s="27" t="s">
        <v>62</v>
      </c>
      <c r="D94" s="28"/>
      <c r="E94" s="29">
        <v>3</v>
      </c>
      <c r="F94" s="30"/>
      <c r="G94" s="29">
        <v>18.68</v>
      </c>
      <c r="H94" s="30"/>
      <c r="I94" s="29">
        <v>56.04</v>
      </c>
      <c r="J94" s="30"/>
    </row>
    <row r="95" spans="1:10" ht="27" x14ac:dyDescent="0.25">
      <c r="A95" s="8">
        <v>40212</v>
      </c>
      <c r="B95" s="9" t="s">
        <v>119</v>
      </c>
      <c r="C95" s="27" t="s">
        <v>87</v>
      </c>
      <c r="D95" s="28"/>
      <c r="E95" s="29">
        <v>1</v>
      </c>
      <c r="F95" s="30"/>
      <c r="G95" s="29">
        <v>7.59</v>
      </c>
      <c r="H95" s="30"/>
      <c r="I95" s="29">
        <v>7.59</v>
      </c>
      <c r="J95" s="30"/>
    </row>
    <row r="96" spans="1:10" ht="45" x14ac:dyDescent="0.25">
      <c r="A96" s="8">
        <v>40577</v>
      </c>
      <c r="B96" s="9" t="s">
        <v>120</v>
      </c>
      <c r="C96" s="27" t="s">
        <v>87</v>
      </c>
      <c r="D96" s="28"/>
      <c r="E96" s="29">
        <v>1</v>
      </c>
      <c r="F96" s="30"/>
      <c r="G96" s="29">
        <v>86.53</v>
      </c>
      <c r="H96" s="30"/>
      <c r="I96" s="29">
        <v>86.53</v>
      </c>
      <c r="J96" s="30"/>
    </row>
    <row r="97" spans="1:10" ht="45" x14ac:dyDescent="0.25">
      <c r="A97" s="6">
        <v>3.03</v>
      </c>
      <c r="B97" s="7" t="s">
        <v>121</v>
      </c>
      <c r="C97" s="40"/>
      <c r="D97" s="41"/>
      <c r="E97" s="40"/>
      <c r="F97" s="41"/>
      <c r="G97" s="40"/>
      <c r="H97" s="41"/>
      <c r="I97" s="38">
        <v>925.69</v>
      </c>
      <c r="J97" s="39"/>
    </row>
    <row r="98" spans="1:10" ht="54" x14ac:dyDescent="0.25">
      <c r="A98" s="8">
        <v>36953</v>
      </c>
      <c r="B98" s="9" t="s">
        <v>122</v>
      </c>
      <c r="C98" s="27" t="s">
        <v>109</v>
      </c>
      <c r="D98" s="28"/>
      <c r="E98" s="29">
        <v>6</v>
      </c>
      <c r="F98" s="30"/>
      <c r="G98" s="29">
        <v>49.87</v>
      </c>
      <c r="H98" s="30"/>
      <c r="I98" s="29">
        <v>299.22000000000003</v>
      </c>
      <c r="J98" s="30"/>
    </row>
    <row r="100" spans="1:10" ht="18" x14ac:dyDescent="0.25">
      <c r="A100" s="4" t="s">
        <v>3</v>
      </c>
      <c r="B100" s="4" t="s">
        <v>4</v>
      </c>
      <c r="C100" s="46" t="s">
        <v>5</v>
      </c>
      <c r="D100" s="47"/>
      <c r="E100" s="4" t="s">
        <v>6</v>
      </c>
      <c r="F100" s="48" t="s">
        <v>123</v>
      </c>
      <c r="G100" s="49"/>
      <c r="H100" s="46" t="s">
        <v>8</v>
      </c>
      <c r="I100" s="47"/>
    </row>
    <row r="101" spans="1:10" ht="45" x14ac:dyDescent="0.25">
      <c r="A101" s="8">
        <v>37318</v>
      </c>
      <c r="B101" s="9" t="s">
        <v>124</v>
      </c>
      <c r="C101" s="27" t="s">
        <v>114</v>
      </c>
      <c r="D101" s="28"/>
      <c r="E101" s="11">
        <v>25.5</v>
      </c>
      <c r="F101" s="29">
        <v>10.43</v>
      </c>
      <c r="G101" s="30"/>
      <c r="H101" s="29">
        <v>265.97000000000003</v>
      </c>
      <c r="I101" s="30"/>
    </row>
    <row r="102" spans="1:10" ht="54" x14ac:dyDescent="0.25">
      <c r="A102" s="8">
        <v>37683</v>
      </c>
      <c r="B102" s="9" t="s">
        <v>125</v>
      </c>
      <c r="C102" s="27" t="s">
        <v>87</v>
      </c>
      <c r="D102" s="28"/>
      <c r="E102" s="11">
        <v>4</v>
      </c>
      <c r="F102" s="29">
        <v>67.14</v>
      </c>
      <c r="G102" s="30"/>
      <c r="H102" s="29">
        <v>268.56</v>
      </c>
      <c r="I102" s="30"/>
    </row>
    <row r="103" spans="1:10" ht="36" x14ac:dyDescent="0.25">
      <c r="A103" s="8">
        <v>38049</v>
      </c>
      <c r="B103" s="9" t="s">
        <v>126</v>
      </c>
      <c r="C103" s="27" t="s">
        <v>87</v>
      </c>
      <c r="D103" s="28"/>
      <c r="E103" s="11">
        <v>2</v>
      </c>
      <c r="F103" s="29">
        <v>45.97</v>
      </c>
      <c r="G103" s="30"/>
      <c r="H103" s="29">
        <v>91.94</v>
      </c>
      <c r="I103" s="30"/>
    </row>
    <row r="104" spans="1:10" x14ac:dyDescent="0.25">
      <c r="A104" s="6">
        <v>3.04</v>
      </c>
      <c r="B104" s="7" t="s">
        <v>127</v>
      </c>
      <c r="C104" s="40"/>
      <c r="D104" s="41"/>
      <c r="E104" s="1"/>
      <c r="F104" s="40"/>
      <c r="G104" s="41"/>
      <c r="H104" s="38">
        <v>156.29</v>
      </c>
      <c r="I104" s="39"/>
    </row>
    <row r="105" spans="1:10" ht="45" x14ac:dyDescent="0.25">
      <c r="A105" s="8">
        <v>36984</v>
      </c>
      <c r="B105" s="9" t="s">
        <v>128</v>
      </c>
      <c r="C105" s="27" t="s">
        <v>70</v>
      </c>
      <c r="D105" s="28"/>
      <c r="E105" s="11">
        <v>26.35</v>
      </c>
      <c r="F105" s="29">
        <v>3</v>
      </c>
      <c r="G105" s="30"/>
      <c r="H105" s="29">
        <v>79.05</v>
      </c>
      <c r="I105" s="30"/>
    </row>
    <row r="106" spans="1:10" ht="36" x14ac:dyDescent="0.25">
      <c r="A106" s="8">
        <v>37349</v>
      </c>
      <c r="B106" s="9" t="s">
        <v>129</v>
      </c>
      <c r="C106" s="27" t="s">
        <v>62</v>
      </c>
      <c r="D106" s="28"/>
      <c r="E106" s="11">
        <v>1</v>
      </c>
      <c r="F106" s="29">
        <v>77.239999999999995</v>
      </c>
      <c r="G106" s="30"/>
      <c r="H106" s="29">
        <v>77.239999999999995</v>
      </c>
      <c r="I106" s="30"/>
    </row>
    <row r="107" spans="1:10" ht="36" x14ac:dyDescent="0.25">
      <c r="A107" s="10">
        <v>4</v>
      </c>
      <c r="B107" s="4" t="s">
        <v>130</v>
      </c>
      <c r="C107" s="42"/>
      <c r="D107" s="43"/>
      <c r="E107" s="12"/>
      <c r="F107" s="42"/>
      <c r="G107" s="43"/>
      <c r="H107" s="44">
        <v>1410.19</v>
      </c>
      <c r="I107" s="45"/>
    </row>
    <row r="108" spans="1:10" ht="36" x14ac:dyDescent="0.25">
      <c r="A108" s="13">
        <v>4.01</v>
      </c>
      <c r="B108" s="7" t="s">
        <v>130</v>
      </c>
      <c r="C108" s="40"/>
      <c r="D108" s="41"/>
      <c r="E108" s="1"/>
      <c r="F108" s="40"/>
      <c r="G108" s="41"/>
      <c r="H108" s="38">
        <v>909.79</v>
      </c>
      <c r="I108" s="39"/>
    </row>
    <row r="109" spans="1:10" ht="18" x14ac:dyDescent="0.25">
      <c r="A109" s="8">
        <v>36895</v>
      </c>
      <c r="B109" s="9" t="s">
        <v>131</v>
      </c>
      <c r="C109" s="27" t="s">
        <v>109</v>
      </c>
      <c r="D109" s="28"/>
      <c r="E109" s="11">
        <v>5</v>
      </c>
      <c r="F109" s="29">
        <v>50.99</v>
      </c>
      <c r="G109" s="30"/>
      <c r="H109" s="29">
        <v>254.95</v>
      </c>
      <c r="I109" s="30"/>
    </row>
    <row r="110" spans="1:10" ht="36" x14ac:dyDescent="0.25">
      <c r="A110" s="8">
        <v>37260</v>
      </c>
      <c r="B110" s="9" t="s">
        <v>132</v>
      </c>
      <c r="C110" s="27" t="s">
        <v>109</v>
      </c>
      <c r="D110" s="28"/>
      <c r="E110" s="11">
        <v>5</v>
      </c>
      <c r="F110" s="29">
        <v>69.19</v>
      </c>
      <c r="G110" s="30"/>
      <c r="H110" s="29">
        <v>345.95</v>
      </c>
      <c r="I110" s="30"/>
    </row>
    <row r="111" spans="1:10" ht="45" x14ac:dyDescent="0.25">
      <c r="A111" s="8">
        <v>37625</v>
      </c>
      <c r="B111" s="9" t="s">
        <v>133</v>
      </c>
      <c r="C111" s="27" t="s">
        <v>109</v>
      </c>
      <c r="D111" s="28"/>
      <c r="E111" s="11">
        <v>1</v>
      </c>
      <c r="F111" s="29">
        <v>50.03</v>
      </c>
      <c r="G111" s="30"/>
      <c r="H111" s="29">
        <v>50.03</v>
      </c>
      <c r="I111" s="30"/>
    </row>
    <row r="112" spans="1:10" ht="36" x14ac:dyDescent="0.25">
      <c r="A112" s="8">
        <v>37990</v>
      </c>
      <c r="B112" s="9" t="s">
        <v>134</v>
      </c>
      <c r="C112" s="27" t="s">
        <v>109</v>
      </c>
      <c r="D112" s="28"/>
      <c r="E112" s="11">
        <v>1</v>
      </c>
      <c r="F112" s="29">
        <v>65.58</v>
      </c>
      <c r="G112" s="30"/>
      <c r="H112" s="29">
        <v>65.58</v>
      </c>
      <c r="I112" s="30"/>
    </row>
    <row r="113" spans="1:9" ht="36" x14ac:dyDescent="0.25">
      <c r="A113" s="8">
        <v>38356</v>
      </c>
      <c r="B113" s="9" t="s">
        <v>135</v>
      </c>
      <c r="C113" s="27" t="s">
        <v>109</v>
      </c>
      <c r="D113" s="28"/>
      <c r="E113" s="11">
        <v>1</v>
      </c>
      <c r="F113" s="29">
        <v>62.91</v>
      </c>
      <c r="G113" s="30"/>
      <c r="H113" s="29">
        <v>62.91</v>
      </c>
      <c r="I113" s="30"/>
    </row>
    <row r="114" spans="1:9" ht="36" x14ac:dyDescent="0.25">
      <c r="A114" s="8">
        <v>38721</v>
      </c>
      <c r="B114" s="9" t="s">
        <v>136</v>
      </c>
      <c r="C114" s="27" t="s">
        <v>109</v>
      </c>
      <c r="D114" s="28"/>
      <c r="E114" s="11">
        <v>1</v>
      </c>
      <c r="F114" s="29">
        <v>52.7</v>
      </c>
      <c r="G114" s="30"/>
      <c r="H114" s="29">
        <v>52.7</v>
      </c>
      <c r="I114" s="30"/>
    </row>
    <row r="115" spans="1:9" ht="36" x14ac:dyDescent="0.25">
      <c r="A115" s="8">
        <v>39086</v>
      </c>
      <c r="B115" s="9" t="s">
        <v>137</v>
      </c>
      <c r="C115" s="27" t="s">
        <v>109</v>
      </c>
      <c r="D115" s="28"/>
      <c r="E115" s="11">
        <v>1</v>
      </c>
      <c r="F115" s="29">
        <v>77.67</v>
      </c>
      <c r="G115" s="30"/>
      <c r="H115" s="29">
        <v>77.67</v>
      </c>
      <c r="I115" s="30"/>
    </row>
    <row r="116" spans="1:9" ht="36" x14ac:dyDescent="0.25">
      <c r="A116" s="13">
        <v>4.0199999999999996</v>
      </c>
      <c r="B116" s="7" t="s">
        <v>138</v>
      </c>
      <c r="C116" s="40"/>
      <c r="D116" s="41"/>
      <c r="E116" s="1"/>
      <c r="F116" s="40"/>
      <c r="G116" s="41"/>
      <c r="H116" s="38">
        <v>109.58</v>
      </c>
      <c r="I116" s="39"/>
    </row>
    <row r="117" spans="1:9" ht="27" x14ac:dyDescent="0.25">
      <c r="A117" s="8">
        <v>36926</v>
      </c>
      <c r="B117" s="9" t="s">
        <v>139</v>
      </c>
      <c r="C117" s="27" t="s">
        <v>62</v>
      </c>
      <c r="D117" s="28"/>
      <c r="E117" s="11">
        <v>1</v>
      </c>
      <c r="F117" s="29">
        <v>109.58</v>
      </c>
      <c r="G117" s="30"/>
      <c r="H117" s="29">
        <v>109.58</v>
      </c>
      <c r="I117" s="30"/>
    </row>
    <row r="118" spans="1:9" ht="27" x14ac:dyDescent="0.25">
      <c r="A118" s="13">
        <v>4.03</v>
      </c>
      <c r="B118" s="7" t="s">
        <v>140</v>
      </c>
      <c r="C118" s="36"/>
      <c r="D118" s="37"/>
      <c r="E118" s="2"/>
      <c r="F118" s="36"/>
      <c r="G118" s="37"/>
      <c r="H118" s="38">
        <v>390.82</v>
      </c>
      <c r="I118" s="39"/>
    </row>
    <row r="119" spans="1:9" ht="27" x14ac:dyDescent="0.25">
      <c r="A119" s="8">
        <v>36954</v>
      </c>
      <c r="B119" s="9" t="s">
        <v>141</v>
      </c>
      <c r="C119" s="27" t="s">
        <v>62</v>
      </c>
      <c r="D119" s="28"/>
      <c r="E119" s="11">
        <v>1</v>
      </c>
      <c r="F119" s="29">
        <v>159.59</v>
      </c>
      <c r="G119" s="30"/>
      <c r="H119" s="29">
        <v>159.59</v>
      </c>
      <c r="I119" s="30"/>
    </row>
    <row r="120" spans="1:9" ht="18" x14ac:dyDescent="0.25">
      <c r="A120" s="8">
        <v>37319</v>
      </c>
      <c r="B120" s="9" t="s">
        <v>142</v>
      </c>
      <c r="C120" s="27" t="s">
        <v>62</v>
      </c>
      <c r="D120" s="28"/>
      <c r="E120" s="11">
        <v>1</v>
      </c>
      <c r="F120" s="29">
        <v>231.23</v>
      </c>
      <c r="G120" s="30"/>
      <c r="H120" s="29">
        <v>231.23</v>
      </c>
      <c r="I120" s="30"/>
    </row>
    <row r="121" spans="1:9" x14ac:dyDescent="0.25">
      <c r="A121" s="31" t="s">
        <v>143</v>
      </c>
      <c r="B121" s="32"/>
      <c r="C121" s="32"/>
      <c r="D121" s="32"/>
      <c r="E121" s="32"/>
      <c r="F121" s="32"/>
      <c r="G121" s="33"/>
      <c r="H121" s="34">
        <v>29391.29</v>
      </c>
      <c r="I121" s="35"/>
    </row>
    <row r="122" spans="1:9" x14ac:dyDescent="0.25">
      <c r="A122" s="21" t="s">
        <v>144</v>
      </c>
      <c r="B122" s="21"/>
      <c r="C122" s="21"/>
      <c r="D122" s="23"/>
      <c r="E122" s="23"/>
      <c r="F122" s="23"/>
      <c r="G122" s="23"/>
      <c r="H122" s="23"/>
      <c r="I122" s="23"/>
    </row>
    <row r="123" spans="1:9" x14ac:dyDescent="0.25">
      <c r="A123" s="21" t="s">
        <v>145</v>
      </c>
      <c r="B123" s="21"/>
      <c r="C123" s="21"/>
      <c r="D123" s="26">
        <v>40</v>
      </c>
      <c r="E123" s="26"/>
      <c r="F123" s="23"/>
      <c r="G123" s="23"/>
      <c r="H123" s="23"/>
      <c r="I123" s="23"/>
    </row>
    <row r="124" spans="1:9" x14ac:dyDescent="0.25">
      <c r="A124" s="21" t="s">
        <v>146</v>
      </c>
      <c r="B124" s="21"/>
      <c r="C124" s="21"/>
      <c r="D124" s="24">
        <v>734.78</v>
      </c>
      <c r="E124" s="24"/>
      <c r="F124" s="23"/>
      <c r="G124" s="23"/>
      <c r="H124" s="23"/>
      <c r="I124" s="23"/>
    </row>
    <row r="125" spans="1:9" x14ac:dyDescent="0.25">
      <c r="A125" s="21" t="s">
        <v>147</v>
      </c>
      <c r="B125" s="21"/>
      <c r="C125" s="21"/>
      <c r="D125" s="22">
        <v>2.7</v>
      </c>
      <c r="E125" s="22"/>
      <c r="F125" s="23"/>
      <c r="G125" s="23"/>
      <c r="H125" s="23"/>
      <c r="I125" s="23"/>
    </row>
    <row r="126" spans="1:9" x14ac:dyDescent="0.25">
      <c r="A126" s="21" t="s">
        <v>148</v>
      </c>
      <c r="B126" s="21"/>
      <c r="C126" s="21"/>
      <c r="D126" s="24">
        <v>267.19</v>
      </c>
      <c r="E126" s="24"/>
      <c r="F126" s="25"/>
      <c r="G126" s="25"/>
      <c r="H126" s="25"/>
      <c r="I126" s="25"/>
    </row>
  </sheetData>
  <mergeCells count="461">
    <mergeCell ref="C4:D4"/>
    <mergeCell ref="E4:F4"/>
    <mergeCell ref="G4:H4"/>
    <mergeCell ref="I4:K4"/>
    <mergeCell ref="C5:D5"/>
    <mergeCell ref="E5:F5"/>
    <mergeCell ref="G5:H5"/>
    <mergeCell ref="I5:K5"/>
    <mergeCell ref="C8:D8"/>
    <mergeCell ref="E8:F8"/>
    <mergeCell ref="G8:H8"/>
    <mergeCell ref="I8:K8"/>
    <mergeCell ref="C9:D9"/>
    <mergeCell ref="E9:F9"/>
    <mergeCell ref="G9:H9"/>
    <mergeCell ref="I9:K9"/>
    <mergeCell ref="C6:D6"/>
    <mergeCell ref="E6:F6"/>
    <mergeCell ref="G6:H6"/>
    <mergeCell ref="I6:K6"/>
    <mergeCell ref="C7:D7"/>
    <mergeCell ref="E7:F7"/>
    <mergeCell ref="G7:H7"/>
    <mergeCell ref="I7:K7"/>
    <mergeCell ref="C12:D12"/>
    <mergeCell ref="E12:F12"/>
    <mergeCell ref="G12:H12"/>
    <mergeCell ref="I12:K12"/>
    <mergeCell ref="C13:D13"/>
    <mergeCell ref="E13:F13"/>
    <mergeCell ref="G13:H13"/>
    <mergeCell ref="I13:K13"/>
    <mergeCell ref="C10:D10"/>
    <mergeCell ref="E10:F10"/>
    <mergeCell ref="G10:H10"/>
    <mergeCell ref="I10:K10"/>
    <mergeCell ref="C11:D11"/>
    <mergeCell ref="E11:F11"/>
    <mergeCell ref="G11:H11"/>
    <mergeCell ref="I11:K11"/>
    <mergeCell ref="C16:D16"/>
    <mergeCell ref="E16:F16"/>
    <mergeCell ref="G16:H16"/>
    <mergeCell ref="I16:K16"/>
    <mergeCell ref="C17:D17"/>
    <mergeCell ref="E17:F17"/>
    <mergeCell ref="G17:H17"/>
    <mergeCell ref="I17:K17"/>
    <mergeCell ref="C14:D14"/>
    <mergeCell ref="E14:F14"/>
    <mergeCell ref="G14:H14"/>
    <mergeCell ref="I14:K14"/>
    <mergeCell ref="C15:D15"/>
    <mergeCell ref="E15:F15"/>
    <mergeCell ref="G15:H15"/>
    <mergeCell ref="I15:K15"/>
    <mergeCell ref="C20:D20"/>
    <mergeCell ref="E20:F20"/>
    <mergeCell ref="G20:H20"/>
    <mergeCell ref="I20:K20"/>
    <mergeCell ref="C21:D21"/>
    <mergeCell ref="E21:F21"/>
    <mergeCell ref="G21:H21"/>
    <mergeCell ref="I21:K21"/>
    <mergeCell ref="C18:D18"/>
    <mergeCell ref="E18:F18"/>
    <mergeCell ref="G18:H18"/>
    <mergeCell ref="I18:K18"/>
    <mergeCell ref="C19:D19"/>
    <mergeCell ref="E19:F19"/>
    <mergeCell ref="G19:H19"/>
    <mergeCell ref="I19:K19"/>
    <mergeCell ref="C24:D24"/>
    <mergeCell ref="E24:F24"/>
    <mergeCell ref="G24:H24"/>
    <mergeCell ref="I24:K24"/>
    <mergeCell ref="C25:D25"/>
    <mergeCell ref="E25:F25"/>
    <mergeCell ref="G25:H25"/>
    <mergeCell ref="I25:K25"/>
    <mergeCell ref="C22:D22"/>
    <mergeCell ref="E22:F22"/>
    <mergeCell ref="G22:H22"/>
    <mergeCell ref="I22:K22"/>
    <mergeCell ref="C23:D23"/>
    <mergeCell ref="E23:F23"/>
    <mergeCell ref="G23:H23"/>
    <mergeCell ref="I23:K23"/>
    <mergeCell ref="C28:D28"/>
    <mergeCell ref="E28:F28"/>
    <mergeCell ref="G28:H28"/>
    <mergeCell ref="I28:K28"/>
    <mergeCell ref="C29:D29"/>
    <mergeCell ref="E29:F29"/>
    <mergeCell ref="G29:H29"/>
    <mergeCell ref="I29:K29"/>
    <mergeCell ref="C26:D26"/>
    <mergeCell ref="E26:F26"/>
    <mergeCell ref="G26:H26"/>
    <mergeCell ref="I26:K26"/>
    <mergeCell ref="C27:D27"/>
    <mergeCell ref="E27:F27"/>
    <mergeCell ref="G27:H27"/>
    <mergeCell ref="I27:K27"/>
    <mergeCell ref="C32:D32"/>
    <mergeCell ref="E32:F32"/>
    <mergeCell ref="G32:H32"/>
    <mergeCell ref="I32:K32"/>
    <mergeCell ref="C33:D33"/>
    <mergeCell ref="E33:F33"/>
    <mergeCell ref="G33:H33"/>
    <mergeCell ref="I33:K33"/>
    <mergeCell ref="C30:D30"/>
    <mergeCell ref="E30:F30"/>
    <mergeCell ref="G30:H30"/>
    <mergeCell ref="I30:K30"/>
    <mergeCell ref="C31:D31"/>
    <mergeCell ref="E31:F31"/>
    <mergeCell ref="G31:H31"/>
    <mergeCell ref="I31:K31"/>
    <mergeCell ref="C36:D36"/>
    <mergeCell ref="E36:F36"/>
    <mergeCell ref="G36:H36"/>
    <mergeCell ref="I36:K36"/>
    <mergeCell ref="C37:D37"/>
    <mergeCell ref="E37:F37"/>
    <mergeCell ref="G37:H37"/>
    <mergeCell ref="I37:K37"/>
    <mergeCell ref="C34:D34"/>
    <mergeCell ref="E34:F34"/>
    <mergeCell ref="G34:H34"/>
    <mergeCell ref="I34:K34"/>
    <mergeCell ref="C35:D35"/>
    <mergeCell ref="E35:F35"/>
    <mergeCell ref="G35:H35"/>
    <mergeCell ref="I35:K35"/>
    <mergeCell ref="C40:D40"/>
    <mergeCell ref="E40:F40"/>
    <mergeCell ref="G40:H40"/>
    <mergeCell ref="I40:K40"/>
    <mergeCell ref="C41:D41"/>
    <mergeCell ref="E41:F41"/>
    <mergeCell ref="G41:H41"/>
    <mergeCell ref="I41:K41"/>
    <mergeCell ref="C38:D38"/>
    <mergeCell ref="E38:F38"/>
    <mergeCell ref="G38:H38"/>
    <mergeCell ref="I38:K38"/>
    <mergeCell ref="C39:D39"/>
    <mergeCell ref="E39:F39"/>
    <mergeCell ref="G39:H39"/>
    <mergeCell ref="I39:K39"/>
    <mergeCell ref="C44:D44"/>
    <mergeCell ref="E44:F44"/>
    <mergeCell ref="G44:H44"/>
    <mergeCell ref="I44:K44"/>
    <mergeCell ref="C45:D45"/>
    <mergeCell ref="E45:F45"/>
    <mergeCell ref="G45:H45"/>
    <mergeCell ref="I45:K45"/>
    <mergeCell ref="C42:D42"/>
    <mergeCell ref="E42:F42"/>
    <mergeCell ref="G42:H42"/>
    <mergeCell ref="I42:K42"/>
    <mergeCell ref="C43:D43"/>
    <mergeCell ref="E43:F43"/>
    <mergeCell ref="G43:H43"/>
    <mergeCell ref="I43:K43"/>
    <mergeCell ref="C48:D48"/>
    <mergeCell ref="E48:F48"/>
    <mergeCell ref="G48:H48"/>
    <mergeCell ref="I48:K48"/>
    <mergeCell ref="C50:D50"/>
    <mergeCell ref="E50:F50"/>
    <mergeCell ref="G50:H50"/>
    <mergeCell ref="I50:J50"/>
    <mergeCell ref="C46:D46"/>
    <mergeCell ref="E46:F46"/>
    <mergeCell ref="G46:H46"/>
    <mergeCell ref="I46:K46"/>
    <mergeCell ref="C47:D47"/>
    <mergeCell ref="E47:F47"/>
    <mergeCell ref="G47:H47"/>
    <mergeCell ref="I47:K47"/>
    <mergeCell ref="C53:D53"/>
    <mergeCell ref="E53:F53"/>
    <mergeCell ref="G53:H53"/>
    <mergeCell ref="I53:J53"/>
    <mergeCell ref="C54:D54"/>
    <mergeCell ref="E54:F54"/>
    <mergeCell ref="G54:H54"/>
    <mergeCell ref="I54:J54"/>
    <mergeCell ref="C51:D51"/>
    <mergeCell ref="E51:F51"/>
    <mergeCell ref="G51:H51"/>
    <mergeCell ref="I51:J51"/>
    <mergeCell ref="C52:D52"/>
    <mergeCell ref="E52:F52"/>
    <mergeCell ref="G52:H52"/>
    <mergeCell ref="I52:J52"/>
    <mergeCell ref="C57:D57"/>
    <mergeCell ref="E57:F57"/>
    <mergeCell ref="G57:H57"/>
    <mergeCell ref="I57:J57"/>
    <mergeCell ref="C58:D58"/>
    <mergeCell ref="E58:F58"/>
    <mergeCell ref="G58:H58"/>
    <mergeCell ref="I58:J58"/>
    <mergeCell ref="C55:D55"/>
    <mergeCell ref="E55:F55"/>
    <mergeCell ref="G55:H55"/>
    <mergeCell ref="I55:J55"/>
    <mergeCell ref="C56:D56"/>
    <mergeCell ref="E56:F56"/>
    <mergeCell ref="G56:H56"/>
    <mergeCell ref="I56:J56"/>
    <mergeCell ref="C61:D61"/>
    <mergeCell ref="E61:F61"/>
    <mergeCell ref="G61:H61"/>
    <mergeCell ref="I61:J61"/>
    <mergeCell ref="C62:D62"/>
    <mergeCell ref="E62:F62"/>
    <mergeCell ref="G62:H62"/>
    <mergeCell ref="I62:J62"/>
    <mergeCell ref="C59:D59"/>
    <mergeCell ref="E59:F59"/>
    <mergeCell ref="G59:H59"/>
    <mergeCell ref="I59:J59"/>
    <mergeCell ref="C60:D60"/>
    <mergeCell ref="E60:F60"/>
    <mergeCell ref="G60:H60"/>
    <mergeCell ref="I60:J60"/>
    <mergeCell ref="C65:D65"/>
    <mergeCell ref="E65:F65"/>
    <mergeCell ref="G65:H65"/>
    <mergeCell ref="I65:J65"/>
    <mergeCell ref="C66:D66"/>
    <mergeCell ref="E66:F66"/>
    <mergeCell ref="G66:H66"/>
    <mergeCell ref="I66:J66"/>
    <mergeCell ref="C63:D63"/>
    <mergeCell ref="E63:F63"/>
    <mergeCell ref="G63:H63"/>
    <mergeCell ref="I63:J63"/>
    <mergeCell ref="C64:D64"/>
    <mergeCell ref="E64:F64"/>
    <mergeCell ref="G64:H64"/>
    <mergeCell ref="I64:J64"/>
    <mergeCell ref="C69:D69"/>
    <mergeCell ref="E69:F69"/>
    <mergeCell ref="G69:H69"/>
    <mergeCell ref="I69:J69"/>
    <mergeCell ref="C70:D70"/>
    <mergeCell ref="E70:F70"/>
    <mergeCell ref="G70:H70"/>
    <mergeCell ref="I70:J70"/>
    <mergeCell ref="C67:D67"/>
    <mergeCell ref="E67:F67"/>
    <mergeCell ref="G67:H67"/>
    <mergeCell ref="I67:J67"/>
    <mergeCell ref="C68:D68"/>
    <mergeCell ref="E68:F68"/>
    <mergeCell ref="G68:H68"/>
    <mergeCell ref="I68:J68"/>
    <mergeCell ref="C73:D73"/>
    <mergeCell ref="E73:F73"/>
    <mergeCell ref="G73:H73"/>
    <mergeCell ref="I73:J73"/>
    <mergeCell ref="C74:D74"/>
    <mergeCell ref="E74:F74"/>
    <mergeCell ref="G74:H74"/>
    <mergeCell ref="I74:J74"/>
    <mergeCell ref="C71:D71"/>
    <mergeCell ref="E71:F71"/>
    <mergeCell ref="G71:H71"/>
    <mergeCell ref="I71:J71"/>
    <mergeCell ref="C72:D72"/>
    <mergeCell ref="E72:F72"/>
    <mergeCell ref="G72:H72"/>
    <mergeCell ref="I72:J72"/>
    <mergeCell ref="C77:D77"/>
    <mergeCell ref="E77:F77"/>
    <mergeCell ref="G77:H77"/>
    <mergeCell ref="I77:J77"/>
    <mergeCell ref="C78:D78"/>
    <mergeCell ref="E78:F78"/>
    <mergeCell ref="G78:H78"/>
    <mergeCell ref="I78:J78"/>
    <mergeCell ref="C75:D75"/>
    <mergeCell ref="E75:F75"/>
    <mergeCell ref="G75:H75"/>
    <mergeCell ref="I75:J75"/>
    <mergeCell ref="C76:D76"/>
    <mergeCell ref="E76:F76"/>
    <mergeCell ref="G76:H76"/>
    <mergeCell ref="I76:J76"/>
    <mergeCell ref="C81:D81"/>
    <mergeCell ref="E81:F81"/>
    <mergeCell ref="G81:H81"/>
    <mergeCell ref="I81:J81"/>
    <mergeCell ref="C82:D82"/>
    <mergeCell ref="E82:F82"/>
    <mergeCell ref="G82:H82"/>
    <mergeCell ref="I82:J82"/>
    <mergeCell ref="C79:D79"/>
    <mergeCell ref="E79:F79"/>
    <mergeCell ref="G79:H79"/>
    <mergeCell ref="I79:J79"/>
    <mergeCell ref="C80:D80"/>
    <mergeCell ref="E80:F80"/>
    <mergeCell ref="G80:H80"/>
    <mergeCell ref="I80:J80"/>
    <mergeCell ref="C85:D85"/>
    <mergeCell ref="E85:F85"/>
    <mergeCell ref="G85:H85"/>
    <mergeCell ref="I85:J85"/>
    <mergeCell ref="C86:D86"/>
    <mergeCell ref="E86:F86"/>
    <mergeCell ref="G86:H86"/>
    <mergeCell ref="I86:J86"/>
    <mergeCell ref="C83:D83"/>
    <mergeCell ref="E83:F83"/>
    <mergeCell ref="G83:H83"/>
    <mergeCell ref="I83:J83"/>
    <mergeCell ref="C84:D84"/>
    <mergeCell ref="E84:F84"/>
    <mergeCell ref="G84:H84"/>
    <mergeCell ref="I84:J84"/>
    <mergeCell ref="C89:D89"/>
    <mergeCell ref="E89:F89"/>
    <mergeCell ref="G89:H89"/>
    <mergeCell ref="I89:J89"/>
    <mergeCell ref="C90:D90"/>
    <mergeCell ref="E90:F90"/>
    <mergeCell ref="G90:H90"/>
    <mergeCell ref="I90:J90"/>
    <mergeCell ref="C87:D87"/>
    <mergeCell ref="E87:F87"/>
    <mergeCell ref="G87:H87"/>
    <mergeCell ref="I87:J87"/>
    <mergeCell ref="C88:D88"/>
    <mergeCell ref="E88:F88"/>
    <mergeCell ref="G88:H88"/>
    <mergeCell ref="I88:J88"/>
    <mergeCell ref="C93:D93"/>
    <mergeCell ref="E93:F93"/>
    <mergeCell ref="G93:H93"/>
    <mergeCell ref="I93:J93"/>
    <mergeCell ref="C94:D94"/>
    <mergeCell ref="E94:F94"/>
    <mergeCell ref="G94:H94"/>
    <mergeCell ref="I94:J94"/>
    <mergeCell ref="C91:D91"/>
    <mergeCell ref="E91:F91"/>
    <mergeCell ref="G91:H91"/>
    <mergeCell ref="I91:J91"/>
    <mergeCell ref="C92:D92"/>
    <mergeCell ref="E92:F92"/>
    <mergeCell ref="G92:H92"/>
    <mergeCell ref="I92:J92"/>
    <mergeCell ref="C97:D97"/>
    <mergeCell ref="E97:F97"/>
    <mergeCell ref="G97:H97"/>
    <mergeCell ref="I97:J97"/>
    <mergeCell ref="C98:D98"/>
    <mergeCell ref="E98:F98"/>
    <mergeCell ref="G98:H98"/>
    <mergeCell ref="I98:J98"/>
    <mergeCell ref="C95:D95"/>
    <mergeCell ref="E95:F95"/>
    <mergeCell ref="G95:H95"/>
    <mergeCell ref="I95:J95"/>
    <mergeCell ref="C96:D96"/>
    <mergeCell ref="E96:F96"/>
    <mergeCell ref="G96:H96"/>
    <mergeCell ref="I96:J96"/>
    <mergeCell ref="C102:D102"/>
    <mergeCell ref="F102:G102"/>
    <mergeCell ref="H102:I102"/>
    <mergeCell ref="C103:D103"/>
    <mergeCell ref="F103:G103"/>
    <mergeCell ref="H103:I103"/>
    <mergeCell ref="C100:D100"/>
    <mergeCell ref="F100:G100"/>
    <mergeCell ref="H100:I100"/>
    <mergeCell ref="C101:D101"/>
    <mergeCell ref="F101:G101"/>
    <mergeCell ref="H101:I101"/>
    <mergeCell ref="C106:D106"/>
    <mergeCell ref="F106:G106"/>
    <mergeCell ref="H106:I106"/>
    <mergeCell ref="C107:D107"/>
    <mergeCell ref="F107:G107"/>
    <mergeCell ref="H107:I107"/>
    <mergeCell ref="C104:D104"/>
    <mergeCell ref="F104:G104"/>
    <mergeCell ref="H104:I104"/>
    <mergeCell ref="C105:D105"/>
    <mergeCell ref="F105:G105"/>
    <mergeCell ref="H105:I105"/>
    <mergeCell ref="C110:D110"/>
    <mergeCell ref="F110:G110"/>
    <mergeCell ref="H110:I110"/>
    <mergeCell ref="C111:D111"/>
    <mergeCell ref="F111:G111"/>
    <mergeCell ref="H111:I111"/>
    <mergeCell ref="C108:D108"/>
    <mergeCell ref="F108:G108"/>
    <mergeCell ref="H108:I108"/>
    <mergeCell ref="C109:D109"/>
    <mergeCell ref="F109:G109"/>
    <mergeCell ref="H109:I109"/>
    <mergeCell ref="C114:D114"/>
    <mergeCell ref="F114:G114"/>
    <mergeCell ref="H114:I114"/>
    <mergeCell ref="C115:D115"/>
    <mergeCell ref="F115:G115"/>
    <mergeCell ref="H115:I115"/>
    <mergeCell ref="C112:D112"/>
    <mergeCell ref="F112:G112"/>
    <mergeCell ref="H112:I112"/>
    <mergeCell ref="C113:D113"/>
    <mergeCell ref="F113:G113"/>
    <mergeCell ref="H113:I113"/>
    <mergeCell ref="C118:D118"/>
    <mergeCell ref="F118:G118"/>
    <mergeCell ref="H118:I118"/>
    <mergeCell ref="C119:D119"/>
    <mergeCell ref="F119:G119"/>
    <mergeCell ref="H119:I119"/>
    <mergeCell ref="C116:D116"/>
    <mergeCell ref="F116:G116"/>
    <mergeCell ref="H116:I116"/>
    <mergeCell ref="C117:D117"/>
    <mergeCell ref="F117:G117"/>
    <mergeCell ref="H117:I117"/>
    <mergeCell ref="C120:D120"/>
    <mergeCell ref="F120:G120"/>
    <mergeCell ref="H120:I120"/>
    <mergeCell ref="A121:G121"/>
    <mergeCell ref="H121:I121"/>
    <mergeCell ref="A122:C122"/>
    <mergeCell ref="D122:E122"/>
    <mergeCell ref="F122:G122"/>
    <mergeCell ref="H122:I122"/>
    <mergeCell ref="A125:C125"/>
    <mergeCell ref="D125:E125"/>
    <mergeCell ref="F125:G125"/>
    <mergeCell ref="H125:I125"/>
    <mergeCell ref="A126:C126"/>
    <mergeCell ref="D126:E126"/>
    <mergeCell ref="F126:G126"/>
    <mergeCell ref="H126:I126"/>
    <mergeCell ref="A123:C123"/>
    <mergeCell ref="D123:E123"/>
    <mergeCell ref="F123:G123"/>
    <mergeCell ref="H123:I123"/>
    <mergeCell ref="A124:C124"/>
    <mergeCell ref="D124:E124"/>
    <mergeCell ref="F124:G124"/>
    <mergeCell ref="H124:I1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B233-60C6-41DD-9707-438B95F6C8DE}">
  <dimension ref="A1:H9"/>
  <sheetViews>
    <sheetView workbookViewId="0">
      <selection activeCell="H20" sqref="H20"/>
    </sheetView>
  </sheetViews>
  <sheetFormatPr defaultRowHeight="15" x14ac:dyDescent="0.25"/>
  <sheetData>
    <row r="1" spans="1:8" x14ac:dyDescent="0.25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</row>
    <row r="2" spans="1:8" x14ac:dyDescent="0.25">
      <c r="A2">
        <v>2009</v>
      </c>
      <c r="B2" t="s">
        <v>298</v>
      </c>
      <c r="C2" t="s">
        <v>155</v>
      </c>
      <c r="D2" t="s">
        <v>159</v>
      </c>
      <c r="E2" t="s">
        <v>296</v>
      </c>
      <c r="F2">
        <v>162.66</v>
      </c>
    </row>
    <row r="3" spans="1:8" x14ac:dyDescent="0.25">
      <c r="A3">
        <v>2009</v>
      </c>
      <c r="B3" t="s">
        <v>298</v>
      </c>
      <c r="C3" t="s">
        <v>290</v>
      </c>
      <c r="D3" t="s">
        <v>159</v>
      </c>
      <c r="E3" t="s">
        <v>296</v>
      </c>
      <c r="F3">
        <v>119.99</v>
      </c>
    </row>
    <row r="4" spans="1:8" x14ac:dyDescent="0.25">
      <c r="A4">
        <v>2009</v>
      </c>
      <c r="B4" t="s">
        <v>298</v>
      </c>
      <c r="C4" t="s">
        <v>269</v>
      </c>
      <c r="D4" t="s">
        <v>291</v>
      </c>
      <c r="E4" t="s">
        <v>296</v>
      </c>
      <c r="F4">
        <v>27.71</v>
      </c>
    </row>
    <row r="5" spans="1:8" x14ac:dyDescent="0.25">
      <c r="A5">
        <v>2009</v>
      </c>
      <c r="B5" t="s">
        <v>298</v>
      </c>
      <c r="C5" t="s">
        <v>297</v>
      </c>
      <c r="D5" t="s">
        <v>292</v>
      </c>
      <c r="E5" t="s">
        <v>296</v>
      </c>
      <c r="F5">
        <v>38.130000000000003</v>
      </c>
    </row>
    <row r="6" spans="1:8" x14ac:dyDescent="0.25">
      <c r="A6">
        <v>2009</v>
      </c>
      <c r="B6" t="s">
        <v>298</v>
      </c>
      <c r="C6" t="s">
        <v>293</v>
      </c>
      <c r="D6" t="s">
        <v>292</v>
      </c>
      <c r="E6" t="s">
        <v>296</v>
      </c>
      <c r="F6">
        <v>44.84</v>
      </c>
    </row>
    <row r="7" spans="1:8" x14ac:dyDescent="0.25">
      <c r="A7">
        <v>2009</v>
      </c>
      <c r="B7" t="s">
        <v>298</v>
      </c>
      <c r="C7" t="s">
        <v>294</v>
      </c>
      <c r="D7" t="s">
        <v>159</v>
      </c>
      <c r="E7" t="s">
        <v>296</v>
      </c>
      <c r="F7">
        <v>38.159999999999997</v>
      </c>
    </row>
    <row r="8" spans="1:8" x14ac:dyDescent="0.25">
      <c r="A8">
        <v>2009</v>
      </c>
      <c r="B8" t="s">
        <v>298</v>
      </c>
      <c r="C8" t="s">
        <v>295</v>
      </c>
      <c r="D8" t="s">
        <v>153</v>
      </c>
      <c r="E8" t="s">
        <v>296</v>
      </c>
      <c r="F8">
        <v>43.45</v>
      </c>
      <c r="G8" t="s">
        <v>299</v>
      </c>
      <c r="H8" t="s">
        <v>300</v>
      </c>
    </row>
    <row r="9" spans="1:8" x14ac:dyDescent="0.25">
      <c r="F9">
        <f>SUM(F2:F8)</f>
        <v>474.93999999999988</v>
      </c>
      <c r="G9">
        <f>mis_parties_CV!A2</f>
        <v>40</v>
      </c>
      <c r="H9">
        <f>F9*G9</f>
        <v>18997.599999999995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F765-030F-43CF-82AC-6E490260FE5F}">
  <dimension ref="A1:Z94"/>
  <sheetViews>
    <sheetView tabSelected="1" topLeftCell="A40" workbookViewId="0">
      <selection activeCell="Q73" sqref="Q73"/>
    </sheetView>
  </sheetViews>
  <sheetFormatPr defaultRowHeight="15" x14ac:dyDescent="0.25"/>
  <sheetData>
    <row r="1" spans="1:20" x14ac:dyDescent="0.25">
      <c r="A1" s="14" t="s">
        <v>164</v>
      </c>
    </row>
    <row r="2" spans="1:20" x14ac:dyDescent="0.25">
      <c r="A2">
        <v>40</v>
      </c>
    </row>
    <row r="3" spans="1:20" x14ac:dyDescent="0.25">
      <c r="C3" s="14" t="s">
        <v>161</v>
      </c>
      <c r="D3" s="14" t="s">
        <v>255</v>
      </c>
      <c r="E3" s="14" t="s">
        <v>256</v>
      </c>
      <c r="F3" s="14" t="s">
        <v>162</v>
      </c>
      <c r="G3" s="14" t="s">
        <v>257</v>
      </c>
      <c r="H3" s="14" t="s">
        <v>259</v>
      </c>
      <c r="I3" s="14" t="s">
        <v>260</v>
      </c>
    </row>
    <row r="4" spans="1:20" x14ac:dyDescent="0.25">
      <c r="A4" s="14" t="s">
        <v>258</v>
      </c>
      <c r="G4">
        <f>SUM(F5:F23)</f>
        <v>2319.9297999999999</v>
      </c>
      <c r="H4" s="19">
        <f>G4/$G$92*100</f>
        <v>7.8932573129771493</v>
      </c>
      <c r="I4">
        <f>G4/A2</f>
        <v>57.998244999999997</v>
      </c>
      <c r="J4" t="s">
        <v>262</v>
      </c>
    </row>
    <row r="5" spans="1:20" x14ac:dyDescent="0.25">
      <c r="B5" t="s">
        <v>204</v>
      </c>
      <c r="C5" t="s">
        <v>158</v>
      </c>
      <c r="D5">
        <v>1.42</v>
      </c>
      <c r="E5">
        <v>43.79</v>
      </c>
      <c r="F5" s="19">
        <f>D5*E5</f>
        <v>62.181799999999996</v>
      </c>
      <c r="H5" s="19"/>
    </row>
    <row r="6" spans="1:20" x14ac:dyDescent="0.25">
      <c r="B6" t="s">
        <v>206</v>
      </c>
      <c r="C6" t="s">
        <v>209</v>
      </c>
      <c r="D6">
        <v>2</v>
      </c>
      <c r="E6">
        <v>380</v>
      </c>
      <c r="F6" s="19">
        <f t="shared" ref="F6:F69" si="0">D6*E6</f>
        <v>760</v>
      </c>
      <c r="H6" s="19"/>
    </row>
    <row r="7" spans="1:20" x14ac:dyDescent="0.25">
      <c r="B7" t="s">
        <v>210</v>
      </c>
      <c r="C7" t="s">
        <v>209</v>
      </c>
      <c r="D7">
        <v>2</v>
      </c>
      <c r="E7">
        <v>35.229999999999997</v>
      </c>
      <c r="F7" s="19">
        <f t="shared" si="0"/>
        <v>70.459999999999994</v>
      </c>
      <c r="H7" s="19"/>
    </row>
    <row r="8" spans="1:20" x14ac:dyDescent="0.25">
      <c r="B8" t="s">
        <v>222</v>
      </c>
      <c r="C8" t="s">
        <v>209</v>
      </c>
      <c r="D8">
        <v>1</v>
      </c>
      <c r="E8">
        <v>161.19999999999999</v>
      </c>
      <c r="F8" s="19">
        <f t="shared" si="0"/>
        <v>161.19999999999999</v>
      </c>
      <c r="H8" s="19"/>
    </row>
    <row r="9" spans="1:20" x14ac:dyDescent="0.25">
      <c r="B9" t="s">
        <v>228</v>
      </c>
      <c r="C9" t="s">
        <v>225</v>
      </c>
      <c r="D9">
        <v>2</v>
      </c>
      <c r="E9">
        <v>31.85</v>
      </c>
      <c r="F9" s="19">
        <f t="shared" si="0"/>
        <v>63.7</v>
      </c>
      <c r="H9" s="19"/>
    </row>
    <row r="10" spans="1:20" x14ac:dyDescent="0.25">
      <c r="B10" t="s">
        <v>232</v>
      </c>
      <c r="C10" t="s">
        <v>193</v>
      </c>
      <c r="D10">
        <v>1</v>
      </c>
      <c r="E10">
        <v>17.010000000000002</v>
      </c>
      <c r="F10" s="19">
        <f t="shared" si="0"/>
        <v>17.010000000000002</v>
      </c>
      <c r="H10" s="19"/>
    </row>
    <row r="11" spans="1:20" x14ac:dyDescent="0.25">
      <c r="B11" t="s">
        <v>236</v>
      </c>
      <c r="C11" t="s">
        <v>209</v>
      </c>
      <c r="D11">
        <v>1</v>
      </c>
      <c r="E11">
        <v>86.53</v>
      </c>
      <c r="F11" s="19">
        <f t="shared" si="0"/>
        <v>86.53</v>
      </c>
      <c r="H11" s="19"/>
    </row>
    <row r="12" spans="1:20" x14ac:dyDescent="0.25">
      <c r="B12" t="s">
        <v>199</v>
      </c>
      <c r="C12" t="s">
        <v>158</v>
      </c>
      <c r="D12">
        <v>2.1</v>
      </c>
      <c r="E12">
        <v>19.68</v>
      </c>
      <c r="F12" s="19">
        <f t="shared" si="0"/>
        <v>41.328000000000003</v>
      </c>
      <c r="H12" s="19"/>
    </row>
    <row r="13" spans="1:20" x14ac:dyDescent="0.25">
      <c r="B13" t="s">
        <v>242</v>
      </c>
      <c r="C13" t="s">
        <v>209</v>
      </c>
      <c r="D13">
        <v>2</v>
      </c>
      <c r="E13">
        <v>45.97</v>
      </c>
      <c r="F13" s="19">
        <f t="shared" si="0"/>
        <v>91.94</v>
      </c>
      <c r="H13" s="19"/>
    </row>
    <row r="14" spans="1:20" x14ac:dyDescent="0.25">
      <c r="B14" t="s">
        <v>243</v>
      </c>
      <c r="C14" t="s">
        <v>198</v>
      </c>
      <c r="D14">
        <v>26.35</v>
      </c>
      <c r="E14">
        <v>3</v>
      </c>
      <c r="F14" s="19">
        <f t="shared" si="0"/>
        <v>79.050000000000011</v>
      </c>
      <c r="H14" s="19"/>
      <c r="M14" t="s">
        <v>267</v>
      </c>
      <c r="T14" t="s">
        <v>267</v>
      </c>
    </row>
    <row r="15" spans="1:20" x14ac:dyDescent="0.25">
      <c r="B15" t="s">
        <v>244</v>
      </c>
      <c r="C15" t="s">
        <v>193</v>
      </c>
      <c r="D15">
        <v>1</v>
      </c>
      <c r="E15">
        <v>77.239999999999995</v>
      </c>
      <c r="F15" s="19">
        <f t="shared" si="0"/>
        <v>77.239999999999995</v>
      </c>
      <c r="H15" s="19"/>
      <c r="M15" t="s">
        <v>305</v>
      </c>
      <c r="T15" t="s">
        <v>306</v>
      </c>
    </row>
    <row r="16" spans="1:20" x14ac:dyDescent="0.25">
      <c r="B16" t="s">
        <v>247</v>
      </c>
      <c r="C16" t="s">
        <v>225</v>
      </c>
      <c r="D16">
        <v>1</v>
      </c>
      <c r="E16">
        <v>50.03</v>
      </c>
      <c r="F16" s="19">
        <f t="shared" si="0"/>
        <v>50.03</v>
      </c>
      <c r="H16" s="19"/>
      <c r="N16" t="s">
        <v>154</v>
      </c>
      <c r="O16" t="s">
        <v>276</v>
      </c>
      <c r="P16">
        <f>2.7*2.7</f>
        <v>7.2900000000000009</v>
      </c>
      <c r="Q16">
        <f t="shared" ref="Q16:Q20" si="1">Q26</f>
        <v>142.52258</v>
      </c>
      <c r="R16">
        <f>P16*Q16</f>
        <v>1038.9896082000002</v>
      </c>
    </row>
    <row r="17" spans="1:26" x14ac:dyDescent="0.25">
      <c r="B17" t="s">
        <v>248</v>
      </c>
      <c r="C17" t="s">
        <v>225</v>
      </c>
      <c r="D17">
        <v>1</v>
      </c>
      <c r="E17">
        <v>65.58</v>
      </c>
      <c r="F17" s="19">
        <f t="shared" si="0"/>
        <v>65.58</v>
      </c>
      <c r="H17" s="19"/>
      <c r="N17" t="s">
        <v>152</v>
      </c>
      <c r="O17" t="s">
        <v>275</v>
      </c>
      <c r="P17">
        <v>1</v>
      </c>
      <c r="Q17">
        <f t="shared" si="1"/>
        <v>179.31</v>
      </c>
      <c r="R17">
        <f>P17*Q17</f>
        <v>179.31</v>
      </c>
      <c r="U17" t="s">
        <v>152</v>
      </c>
      <c r="V17" t="s">
        <v>275</v>
      </c>
      <c r="W17">
        <v>1</v>
      </c>
      <c r="X17">
        <f t="shared" ref="X17:X20" si="2">Q17</f>
        <v>179.31</v>
      </c>
      <c r="Y17">
        <f>W17*X17</f>
        <v>179.31</v>
      </c>
    </row>
    <row r="18" spans="1:26" x14ac:dyDescent="0.25">
      <c r="B18" t="s">
        <v>249</v>
      </c>
      <c r="C18" t="s">
        <v>225</v>
      </c>
      <c r="D18">
        <v>1</v>
      </c>
      <c r="E18">
        <v>62.91</v>
      </c>
      <c r="F18" s="19">
        <f t="shared" si="0"/>
        <v>62.91</v>
      </c>
      <c r="H18" s="19"/>
      <c r="N18" t="s">
        <v>155</v>
      </c>
      <c r="O18" t="s">
        <v>277</v>
      </c>
      <c r="P18">
        <f>1*2.7*2.7</f>
        <v>7.2900000000000009</v>
      </c>
      <c r="Q18" s="19">
        <f t="shared" si="1"/>
        <v>161.8535718571857</v>
      </c>
      <c r="R18">
        <f>P18*Q18</f>
        <v>1179.9125388388838</v>
      </c>
      <c r="U18" t="s">
        <v>155</v>
      </c>
      <c r="V18" t="s">
        <v>277</v>
      </c>
      <c r="W18">
        <f>1*2.7*2.7</f>
        <v>7.2900000000000009</v>
      </c>
      <c r="X18">
        <f t="shared" si="2"/>
        <v>161.8535718571857</v>
      </c>
      <c r="Y18">
        <f t="shared" ref="Y18:Y20" si="3">W18*X18</f>
        <v>1179.9125388388838</v>
      </c>
    </row>
    <row r="19" spans="1:26" x14ac:dyDescent="0.25">
      <c r="B19" t="s">
        <v>250</v>
      </c>
      <c r="C19" t="s">
        <v>225</v>
      </c>
      <c r="D19">
        <v>1</v>
      </c>
      <c r="E19">
        <v>52.7</v>
      </c>
      <c r="F19" s="19">
        <f t="shared" si="0"/>
        <v>52.7</v>
      </c>
      <c r="H19" s="19"/>
      <c r="N19" t="s">
        <v>268</v>
      </c>
      <c r="O19" t="s">
        <v>278</v>
      </c>
      <c r="P19">
        <f>2.7*2.7</f>
        <v>7.2900000000000009</v>
      </c>
      <c r="Q19">
        <f t="shared" si="1"/>
        <v>178.16794828076158</v>
      </c>
      <c r="R19">
        <f>P19*Q19</f>
        <v>1298.844342966752</v>
      </c>
      <c r="U19" t="s">
        <v>268</v>
      </c>
      <c r="V19" t="s">
        <v>278</v>
      </c>
      <c r="W19">
        <f>2.7*2.7</f>
        <v>7.2900000000000009</v>
      </c>
      <c r="X19">
        <f t="shared" si="2"/>
        <v>178.16794828076158</v>
      </c>
      <c r="Y19">
        <f t="shared" si="3"/>
        <v>1298.844342966752</v>
      </c>
    </row>
    <row r="20" spans="1:26" x14ac:dyDescent="0.25">
      <c r="B20" t="s">
        <v>251</v>
      </c>
      <c r="C20" t="s">
        <v>225</v>
      </c>
      <c r="D20">
        <v>1</v>
      </c>
      <c r="E20">
        <v>77.67</v>
      </c>
      <c r="F20" s="19">
        <f t="shared" si="0"/>
        <v>77.67</v>
      </c>
      <c r="H20" s="19"/>
      <c r="N20" t="s">
        <v>269</v>
      </c>
      <c r="O20" t="s">
        <v>279</v>
      </c>
      <c r="P20">
        <f>2.7*2.7</f>
        <v>7.2900000000000009</v>
      </c>
      <c r="Q20">
        <f t="shared" si="1"/>
        <v>33.977718518518522</v>
      </c>
      <c r="R20">
        <f>P20*Q20</f>
        <v>247.69756800000005</v>
      </c>
      <c r="U20" t="s">
        <v>269</v>
      </c>
      <c r="V20" t="s">
        <v>279</v>
      </c>
      <c r="W20">
        <f>2.7*2.7</f>
        <v>7.2900000000000009</v>
      </c>
      <c r="X20">
        <f t="shared" si="2"/>
        <v>33.977718518518522</v>
      </c>
      <c r="Y20">
        <f t="shared" si="3"/>
        <v>247.69756800000005</v>
      </c>
    </row>
    <row r="21" spans="1:26" x14ac:dyDescent="0.25">
      <c r="B21" t="s">
        <v>252</v>
      </c>
      <c r="C21" t="s">
        <v>193</v>
      </c>
      <c r="D21">
        <v>1</v>
      </c>
      <c r="E21">
        <v>109.58</v>
      </c>
      <c r="F21" s="19">
        <f t="shared" si="0"/>
        <v>109.58</v>
      </c>
      <c r="H21" s="19"/>
      <c r="N21" t="s">
        <v>280</v>
      </c>
      <c r="R21">
        <f>SUM(R16:R20)</f>
        <v>3944.7540580056361</v>
      </c>
      <c r="U21" t="s">
        <v>280</v>
      </c>
      <c r="Y21">
        <f>SUM(Y17:Y20)</f>
        <v>2905.7644498056356</v>
      </c>
    </row>
    <row r="22" spans="1:26" x14ac:dyDescent="0.25">
      <c r="B22" t="s">
        <v>253</v>
      </c>
      <c r="C22" t="s">
        <v>193</v>
      </c>
      <c r="D22">
        <v>1</v>
      </c>
      <c r="E22">
        <v>159.59</v>
      </c>
      <c r="F22" s="19">
        <f t="shared" si="0"/>
        <v>159.59</v>
      </c>
      <c r="H22" s="19"/>
      <c r="M22">
        <v>0.15</v>
      </c>
      <c r="N22" t="s">
        <v>270</v>
      </c>
      <c r="R22">
        <f>R21*M22</f>
        <v>591.7131087008454</v>
      </c>
      <c r="T22">
        <v>0.15</v>
      </c>
      <c r="U22" t="s">
        <v>270</v>
      </c>
      <c r="Y22">
        <f>Y21*T22</f>
        <v>435.86466747084535</v>
      </c>
    </row>
    <row r="23" spans="1:26" x14ac:dyDescent="0.25">
      <c r="B23" t="s">
        <v>254</v>
      </c>
      <c r="C23" t="s">
        <v>193</v>
      </c>
      <c r="D23">
        <v>1</v>
      </c>
      <c r="E23">
        <v>231.23</v>
      </c>
      <c r="F23" s="19">
        <f t="shared" si="0"/>
        <v>231.23</v>
      </c>
      <c r="H23" s="19"/>
      <c r="M23">
        <v>0.15</v>
      </c>
      <c r="N23" t="s">
        <v>271</v>
      </c>
      <c r="R23">
        <f>R22+I73+I85</f>
        <v>2837.086008700845</v>
      </c>
      <c r="T23">
        <v>0.15</v>
      </c>
      <c r="U23" t="s">
        <v>271</v>
      </c>
      <c r="Y23">
        <f>Y22+I73+I85</f>
        <v>2681.2375674708455</v>
      </c>
    </row>
    <row r="24" spans="1:26" x14ac:dyDescent="0.25">
      <c r="A24" s="14" t="s">
        <v>152</v>
      </c>
      <c r="F24" s="19"/>
      <c r="G24">
        <f>SUM(F25:F26)</f>
        <v>179.31</v>
      </c>
      <c r="H24" s="19">
        <f t="shared" ref="H24:H58" si="4">G24/$G$92*100</f>
        <v>0.61007879151771438</v>
      </c>
      <c r="I24">
        <f>G24</f>
        <v>179.31</v>
      </c>
      <c r="J24" t="s">
        <v>263</v>
      </c>
      <c r="N24" s="14" t="s">
        <v>281</v>
      </c>
      <c r="R24" s="14">
        <f>R21+R22+R23</f>
        <v>7373.5531754073263</v>
      </c>
      <c r="S24">
        <f>R24/$G$92*100</f>
        <v>25.087548995840201</v>
      </c>
      <c r="U24" s="14" t="s">
        <v>281</v>
      </c>
      <c r="Y24" s="14">
        <f>Y22+Y23+Y21</f>
        <v>6022.8666847473269</v>
      </c>
      <c r="Z24">
        <f>Y24/$G$92*100</f>
        <v>20.492015105141665</v>
      </c>
    </row>
    <row r="25" spans="1:26" x14ac:dyDescent="0.25">
      <c r="B25" t="s">
        <v>165</v>
      </c>
      <c r="C25" t="s">
        <v>166</v>
      </c>
      <c r="D25">
        <v>1</v>
      </c>
      <c r="E25">
        <v>93.89</v>
      </c>
      <c r="F25" s="19">
        <f t="shared" si="0"/>
        <v>93.89</v>
      </c>
      <c r="H25" s="19"/>
      <c r="M25" t="s">
        <v>272</v>
      </c>
      <c r="T25" t="s">
        <v>301</v>
      </c>
    </row>
    <row r="26" spans="1:26" x14ac:dyDescent="0.25">
      <c r="B26" t="s">
        <v>219</v>
      </c>
      <c r="C26" t="s">
        <v>166</v>
      </c>
      <c r="D26">
        <v>1</v>
      </c>
      <c r="E26">
        <v>85.42</v>
      </c>
      <c r="F26" s="19">
        <f t="shared" si="0"/>
        <v>85.42</v>
      </c>
      <c r="H26" s="19"/>
      <c r="N26" t="s">
        <v>154</v>
      </c>
      <c r="O26" t="s">
        <v>276</v>
      </c>
      <c r="P26">
        <f>2.7*2.7</f>
        <v>7.2900000000000009</v>
      </c>
      <c r="Q26">
        <f>I27</f>
        <v>142.52258</v>
      </c>
      <c r="R26">
        <f>P26*Q26</f>
        <v>1038.9896082000002</v>
      </c>
    </row>
    <row r="27" spans="1:26" x14ac:dyDescent="0.25">
      <c r="A27" s="14" t="s">
        <v>154</v>
      </c>
      <c r="F27" s="19"/>
      <c r="G27">
        <f>SUM(F28:F42)</f>
        <v>5700.9031999999997</v>
      </c>
      <c r="H27" s="19">
        <f t="shared" si="4"/>
        <v>19.396576514502652</v>
      </c>
      <c r="I27">
        <f>G27/A2</f>
        <v>142.52258</v>
      </c>
      <c r="J27" t="s">
        <v>262</v>
      </c>
      <c r="N27" t="s">
        <v>152</v>
      </c>
      <c r="O27" t="s">
        <v>275</v>
      </c>
      <c r="P27">
        <v>1</v>
      </c>
      <c r="Q27">
        <f>I24</f>
        <v>179.31</v>
      </c>
      <c r="R27">
        <f>P27*Q27</f>
        <v>179.31</v>
      </c>
      <c r="U27" t="s">
        <v>152</v>
      </c>
      <c r="V27" t="s">
        <v>275</v>
      </c>
      <c r="W27">
        <v>1</v>
      </c>
      <c r="X27">
        <f t="shared" ref="X27:X30" si="5">Q27</f>
        <v>179.31</v>
      </c>
      <c r="Y27">
        <f>W27*X27</f>
        <v>179.31</v>
      </c>
    </row>
    <row r="28" spans="1:26" x14ac:dyDescent="0.25">
      <c r="B28" t="s">
        <v>167</v>
      </c>
      <c r="C28" t="s">
        <v>158</v>
      </c>
      <c r="D28">
        <v>48.52</v>
      </c>
      <c r="E28">
        <v>1.79</v>
      </c>
      <c r="F28" s="19">
        <f t="shared" si="0"/>
        <v>86.850800000000007</v>
      </c>
      <c r="H28" s="19"/>
      <c r="N28" t="s">
        <v>155</v>
      </c>
      <c r="O28" t="s">
        <v>277</v>
      </c>
      <c r="P28">
        <f>2*2.7*2.7</f>
        <v>14.580000000000002</v>
      </c>
      <c r="Q28" s="19">
        <f>I43</f>
        <v>161.8535718571857</v>
      </c>
      <c r="R28">
        <f>P28*Q28</f>
        <v>2359.8250776777677</v>
      </c>
      <c r="U28" t="s">
        <v>155</v>
      </c>
      <c r="V28" t="s">
        <v>277</v>
      </c>
      <c r="W28">
        <f>2*2.7*2.7</f>
        <v>14.580000000000002</v>
      </c>
      <c r="X28">
        <f t="shared" si="5"/>
        <v>161.8535718571857</v>
      </c>
      <c r="Y28">
        <f t="shared" ref="Y28:Y30" si="6">W28*X28</f>
        <v>2359.8250776777677</v>
      </c>
    </row>
    <row r="29" spans="1:26" x14ac:dyDescent="0.25">
      <c r="B29" t="s">
        <v>168</v>
      </c>
      <c r="C29" t="s">
        <v>158</v>
      </c>
      <c r="D29">
        <v>38.75</v>
      </c>
      <c r="E29">
        <v>0.88</v>
      </c>
      <c r="F29" s="19">
        <f t="shared" si="0"/>
        <v>34.1</v>
      </c>
      <c r="H29" s="19"/>
      <c r="N29" t="s">
        <v>268</v>
      </c>
      <c r="O29" t="s">
        <v>278</v>
      </c>
      <c r="P29">
        <f>2.7*2.7</f>
        <v>7.2900000000000009</v>
      </c>
      <c r="Q29">
        <f>I58</f>
        <v>178.16794828076158</v>
      </c>
      <c r="R29">
        <f>P29*Q29</f>
        <v>1298.844342966752</v>
      </c>
      <c r="U29" t="s">
        <v>268</v>
      </c>
      <c r="V29" t="s">
        <v>278</v>
      </c>
      <c r="W29">
        <f>2.7*2.7</f>
        <v>7.2900000000000009</v>
      </c>
      <c r="X29">
        <f t="shared" si="5"/>
        <v>178.16794828076158</v>
      </c>
      <c r="Y29">
        <f t="shared" si="6"/>
        <v>1298.844342966752</v>
      </c>
    </row>
    <row r="30" spans="1:26" x14ac:dyDescent="0.25">
      <c r="B30" t="s">
        <v>169</v>
      </c>
      <c r="C30" t="s">
        <v>158</v>
      </c>
      <c r="D30">
        <v>25.6</v>
      </c>
      <c r="E30">
        <v>0.84</v>
      </c>
      <c r="F30" s="19">
        <f t="shared" si="0"/>
        <v>21.504000000000001</v>
      </c>
      <c r="H30" s="19"/>
      <c r="N30" t="s">
        <v>269</v>
      </c>
      <c r="O30" t="s">
        <v>279</v>
      </c>
      <c r="P30">
        <f>2.7*2.7</f>
        <v>7.2900000000000009</v>
      </c>
      <c r="Q30">
        <f>I70</f>
        <v>33.977718518518522</v>
      </c>
      <c r="R30">
        <f>P30*Q30</f>
        <v>247.69756800000005</v>
      </c>
      <c r="U30" t="s">
        <v>269</v>
      </c>
      <c r="V30" t="s">
        <v>279</v>
      </c>
      <c r="W30">
        <f>2.7*2.7</f>
        <v>7.2900000000000009</v>
      </c>
      <c r="X30">
        <f t="shared" si="5"/>
        <v>33.977718518518522</v>
      </c>
      <c r="Y30">
        <f t="shared" si="6"/>
        <v>247.69756800000005</v>
      </c>
    </row>
    <row r="31" spans="1:26" x14ac:dyDescent="0.25">
      <c r="B31" t="s">
        <v>170</v>
      </c>
      <c r="C31" t="s">
        <v>157</v>
      </c>
      <c r="D31">
        <v>19.5</v>
      </c>
      <c r="E31">
        <v>21.37</v>
      </c>
      <c r="F31" s="19">
        <f t="shared" si="0"/>
        <v>416.71500000000003</v>
      </c>
      <c r="H31" s="19"/>
      <c r="N31" t="s">
        <v>280</v>
      </c>
      <c r="R31">
        <f>SUM(R26:R30)</f>
        <v>5124.6665968445195</v>
      </c>
      <c r="U31" t="s">
        <v>280</v>
      </c>
      <c r="Y31">
        <f>SUM(Y27:Y30)</f>
        <v>4085.6769886445195</v>
      </c>
    </row>
    <row r="32" spans="1:26" x14ac:dyDescent="0.25">
      <c r="B32" t="s">
        <v>171</v>
      </c>
      <c r="C32" t="s">
        <v>158</v>
      </c>
      <c r="D32">
        <v>54.32</v>
      </c>
      <c r="E32">
        <v>2.72</v>
      </c>
      <c r="F32" s="19">
        <f t="shared" si="0"/>
        <v>147.75040000000001</v>
      </c>
      <c r="H32" s="19"/>
      <c r="M32">
        <v>0.15</v>
      </c>
      <c r="N32" t="s">
        <v>270</v>
      </c>
      <c r="R32">
        <f>R31*M32</f>
        <v>768.69998952667788</v>
      </c>
      <c r="T32">
        <v>0.15</v>
      </c>
      <c r="U32" t="s">
        <v>270</v>
      </c>
      <c r="Y32">
        <f>Y31*T32</f>
        <v>612.85154829667795</v>
      </c>
    </row>
    <row r="33" spans="1:26" x14ac:dyDescent="0.25">
      <c r="B33" t="s">
        <v>172</v>
      </c>
      <c r="C33" t="s">
        <v>157</v>
      </c>
      <c r="D33">
        <v>3.7</v>
      </c>
      <c r="E33">
        <v>27.94</v>
      </c>
      <c r="F33" s="19">
        <f t="shared" si="0"/>
        <v>103.37800000000001</v>
      </c>
      <c r="H33" s="19"/>
      <c r="M33">
        <v>0.15</v>
      </c>
      <c r="N33" t="s">
        <v>271</v>
      </c>
      <c r="R33">
        <f>R32+I73+I85</f>
        <v>3014.0728895266775</v>
      </c>
      <c r="T33">
        <v>0.15</v>
      </c>
      <c r="U33" t="s">
        <v>271</v>
      </c>
      <c r="Y33">
        <f>Y32+I73+I85</f>
        <v>2858.224448296678</v>
      </c>
    </row>
    <row r="34" spans="1:26" x14ac:dyDescent="0.25">
      <c r="B34" t="s">
        <v>173</v>
      </c>
      <c r="C34" t="s">
        <v>157</v>
      </c>
      <c r="D34">
        <v>18.98</v>
      </c>
      <c r="E34">
        <v>4.99</v>
      </c>
      <c r="F34" s="19">
        <f t="shared" si="0"/>
        <v>94.7102</v>
      </c>
      <c r="H34" s="19"/>
      <c r="N34" s="14" t="s">
        <v>281</v>
      </c>
      <c r="R34" s="14">
        <f>R31+R32+R33</f>
        <v>8907.4394758978742</v>
      </c>
      <c r="S34">
        <f>R34/$G$92*100</f>
        <v>30.306396246572742</v>
      </c>
      <c r="U34" s="14" t="s">
        <v>281</v>
      </c>
      <c r="Y34" s="14">
        <f>Y32+Y33+Y31</f>
        <v>7556.7529852378757</v>
      </c>
      <c r="Z34">
        <f>Y34/$G$92*100</f>
        <v>25.710862355874202</v>
      </c>
    </row>
    <row r="35" spans="1:26" x14ac:dyDescent="0.25">
      <c r="B35" t="s">
        <v>174</v>
      </c>
      <c r="C35" t="s">
        <v>157</v>
      </c>
      <c r="D35">
        <v>12.9</v>
      </c>
      <c r="E35">
        <v>21.34</v>
      </c>
      <c r="F35" s="19">
        <f t="shared" si="0"/>
        <v>275.286</v>
      </c>
      <c r="H35" s="19"/>
      <c r="M35" t="s">
        <v>273</v>
      </c>
      <c r="T35" t="s">
        <v>302</v>
      </c>
    </row>
    <row r="36" spans="1:26" x14ac:dyDescent="0.25">
      <c r="B36" t="s">
        <v>175</v>
      </c>
      <c r="C36" t="s">
        <v>157</v>
      </c>
      <c r="D36">
        <v>12.65</v>
      </c>
      <c r="E36">
        <v>148.75</v>
      </c>
      <c r="F36" s="19">
        <f t="shared" si="0"/>
        <v>1881.6875</v>
      </c>
      <c r="H36" s="19"/>
      <c r="N36" t="s">
        <v>154</v>
      </c>
      <c r="O36" t="s">
        <v>276</v>
      </c>
      <c r="P36">
        <f>2.7*2.7</f>
        <v>7.2900000000000009</v>
      </c>
      <c r="Q36">
        <f t="shared" ref="Q36:Q40" si="7">Q26</f>
        <v>142.52258</v>
      </c>
      <c r="R36">
        <f>P36*Q36</f>
        <v>1038.9896082000002</v>
      </c>
    </row>
    <row r="37" spans="1:26" x14ac:dyDescent="0.25">
      <c r="B37" t="s">
        <v>176</v>
      </c>
      <c r="C37" t="s">
        <v>157</v>
      </c>
      <c r="D37">
        <v>1.34</v>
      </c>
      <c r="E37">
        <v>202.31</v>
      </c>
      <c r="F37" s="19">
        <f t="shared" si="0"/>
        <v>271.09540000000004</v>
      </c>
      <c r="H37" s="19"/>
      <c r="N37" t="s">
        <v>152</v>
      </c>
      <c r="O37" t="s">
        <v>275</v>
      </c>
      <c r="P37">
        <v>1</v>
      </c>
      <c r="Q37">
        <f t="shared" si="7"/>
        <v>179.31</v>
      </c>
      <c r="R37">
        <f>P37*Q37</f>
        <v>179.31</v>
      </c>
      <c r="U37" t="s">
        <v>152</v>
      </c>
      <c r="V37" t="s">
        <v>275</v>
      </c>
      <c r="W37">
        <v>1</v>
      </c>
      <c r="X37">
        <f t="shared" ref="X37:X40" si="8">Q37</f>
        <v>179.31</v>
      </c>
      <c r="Y37">
        <f>W37*X37</f>
        <v>179.31</v>
      </c>
    </row>
    <row r="38" spans="1:26" x14ac:dyDescent="0.25">
      <c r="B38" t="s">
        <v>177</v>
      </c>
      <c r="C38" t="s">
        <v>158</v>
      </c>
      <c r="D38">
        <v>17.850000000000001</v>
      </c>
      <c r="E38">
        <v>23.14</v>
      </c>
      <c r="F38" s="19">
        <f t="shared" si="0"/>
        <v>413.04900000000004</v>
      </c>
      <c r="H38" s="19"/>
      <c r="N38" t="s">
        <v>155</v>
      </c>
      <c r="O38" t="s">
        <v>277</v>
      </c>
      <c r="P38">
        <f>3*2.7*2.7</f>
        <v>21.870000000000005</v>
      </c>
      <c r="Q38" s="19">
        <f t="shared" si="7"/>
        <v>161.8535718571857</v>
      </c>
      <c r="R38">
        <f>P38*Q38</f>
        <v>3539.737616516652</v>
      </c>
      <c r="U38" t="s">
        <v>155</v>
      </c>
      <c r="V38" t="s">
        <v>277</v>
      </c>
      <c r="W38">
        <f>3*2.7*2.7</f>
        <v>21.870000000000005</v>
      </c>
      <c r="X38">
        <f t="shared" si="8"/>
        <v>161.8535718571857</v>
      </c>
      <c r="Y38">
        <f t="shared" ref="Y38:Y40" si="9">W38*X38</f>
        <v>3539.737616516652</v>
      </c>
    </row>
    <row r="39" spans="1:26" x14ac:dyDescent="0.25">
      <c r="B39" t="s">
        <v>178</v>
      </c>
      <c r="C39" t="s">
        <v>158</v>
      </c>
      <c r="D39">
        <v>33.729999999999997</v>
      </c>
      <c r="E39">
        <v>23.79</v>
      </c>
      <c r="F39" s="19">
        <f t="shared" si="0"/>
        <v>802.43669999999986</v>
      </c>
      <c r="H39" s="19"/>
      <c r="N39" t="s">
        <v>268</v>
      </c>
      <c r="O39" t="s">
        <v>278</v>
      </c>
      <c r="P39">
        <f>2.7*2.7</f>
        <v>7.2900000000000009</v>
      </c>
      <c r="Q39">
        <f t="shared" si="7"/>
        <v>178.16794828076158</v>
      </c>
      <c r="R39">
        <f>P39*Q39</f>
        <v>1298.844342966752</v>
      </c>
      <c r="U39" t="s">
        <v>268</v>
      </c>
      <c r="V39" t="s">
        <v>278</v>
      </c>
      <c r="W39">
        <f>2.7*2.7</f>
        <v>7.2900000000000009</v>
      </c>
      <c r="X39">
        <f t="shared" si="8"/>
        <v>178.16794828076158</v>
      </c>
      <c r="Y39">
        <f t="shared" si="9"/>
        <v>1298.844342966752</v>
      </c>
    </row>
    <row r="40" spans="1:26" x14ac:dyDescent="0.25">
      <c r="B40" t="s">
        <v>179</v>
      </c>
      <c r="C40" t="s">
        <v>157</v>
      </c>
      <c r="D40">
        <v>1.67</v>
      </c>
      <c r="E40">
        <v>213.96</v>
      </c>
      <c r="F40" s="19">
        <f t="shared" si="0"/>
        <v>357.31319999999999</v>
      </c>
      <c r="H40" s="19"/>
      <c r="N40" t="s">
        <v>269</v>
      </c>
      <c r="O40" t="s">
        <v>279</v>
      </c>
      <c r="P40">
        <f>2.7*2.7</f>
        <v>7.2900000000000009</v>
      </c>
      <c r="Q40">
        <f t="shared" si="7"/>
        <v>33.977718518518522</v>
      </c>
      <c r="R40">
        <f>P40*Q40</f>
        <v>247.69756800000005</v>
      </c>
      <c r="U40" t="s">
        <v>269</v>
      </c>
      <c r="V40" t="s">
        <v>279</v>
      </c>
      <c r="W40">
        <f>2.7*2.7</f>
        <v>7.2900000000000009</v>
      </c>
      <c r="X40">
        <f t="shared" si="8"/>
        <v>33.977718518518522</v>
      </c>
      <c r="Y40">
        <f t="shared" si="9"/>
        <v>247.69756800000005</v>
      </c>
    </row>
    <row r="41" spans="1:26" x14ac:dyDescent="0.25">
      <c r="B41" t="s">
        <v>180</v>
      </c>
      <c r="C41" t="s">
        <v>158</v>
      </c>
      <c r="D41">
        <v>20.25</v>
      </c>
      <c r="E41">
        <v>23.14</v>
      </c>
      <c r="F41" s="19">
        <f t="shared" si="0"/>
        <v>468.58500000000004</v>
      </c>
      <c r="H41" s="19"/>
      <c r="N41" t="s">
        <v>280</v>
      </c>
      <c r="R41">
        <f>SUM(R36:R40)</f>
        <v>6304.5791356834052</v>
      </c>
      <c r="U41" t="s">
        <v>280</v>
      </c>
      <c r="Y41">
        <f>SUM(Y37:Y40)</f>
        <v>5265.5895274834038</v>
      </c>
    </row>
    <row r="42" spans="1:26" x14ac:dyDescent="0.25">
      <c r="B42" t="s">
        <v>181</v>
      </c>
      <c r="C42" t="s">
        <v>182</v>
      </c>
      <c r="D42">
        <v>79.62</v>
      </c>
      <c r="E42">
        <v>4.0999999999999996</v>
      </c>
      <c r="F42" s="19">
        <f t="shared" si="0"/>
        <v>326.44200000000001</v>
      </c>
      <c r="H42" s="19"/>
      <c r="M42">
        <v>0.15</v>
      </c>
      <c r="N42" t="s">
        <v>270</v>
      </c>
      <c r="R42">
        <f>R41*M42</f>
        <v>945.68687035251071</v>
      </c>
      <c r="T42">
        <v>0.15</v>
      </c>
      <c r="U42" t="s">
        <v>270</v>
      </c>
      <c r="Y42">
        <f>Y41*T42</f>
        <v>789.83842912251055</v>
      </c>
    </row>
    <row r="43" spans="1:26" x14ac:dyDescent="0.25">
      <c r="A43" s="14" t="s">
        <v>155</v>
      </c>
      <c r="F43" s="19"/>
      <c r="G43">
        <f>SUM(F44:F57)</f>
        <v>10789.159099999999</v>
      </c>
      <c r="H43" s="19">
        <f t="shared" si="4"/>
        <v>36.708700826615079</v>
      </c>
      <c r="I43" s="19">
        <f>G43/D47</f>
        <v>161.8535718571857</v>
      </c>
      <c r="J43" t="s">
        <v>264</v>
      </c>
      <c r="M43">
        <v>0.15</v>
      </c>
      <c r="N43" t="s">
        <v>271</v>
      </c>
      <c r="R43">
        <f>R42+I73+I85</f>
        <v>3191.0597703525109</v>
      </c>
      <c r="T43">
        <v>0.15</v>
      </c>
      <c r="U43" t="s">
        <v>271</v>
      </c>
      <c r="Y43">
        <f>Y42+I73+I85</f>
        <v>3035.2113291225105</v>
      </c>
    </row>
    <row r="44" spans="1:26" x14ac:dyDescent="0.25">
      <c r="B44" t="s">
        <v>183</v>
      </c>
      <c r="C44" t="s">
        <v>157</v>
      </c>
      <c r="D44">
        <v>4.58</v>
      </c>
      <c r="E44">
        <v>332.13</v>
      </c>
      <c r="F44" s="19">
        <f t="shared" si="0"/>
        <v>1521.1554000000001</v>
      </c>
      <c r="H44" s="19"/>
      <c r="N44" s="14" t="s">
        <v>281</v>
      </c>
      <c r="R44" s="14">
        <f>R41+R42+R43</f>
        <v>10441.325776388427</v>
      </c>
      <c r="S44">
        <f>R44/$G$92*100</f>
        <v>35.52524349730529</v>
      </c>
      <c r="U44" s="14" t="s">
        <v>281</v>
      </c>
      <c r="Y44" s="14">
        <f>Y42+Y43+Y41</f>
        <v>9090.6392857284245</v>
      </c>
      <c r="Z44">
        <f>Y44/$G$92*100</f>
        <v>30.929709606606743</v>
      </c>
    </row>
    <row r="45" spans="1:26" x14ac:dyDescent="0.25">
      <c r="B45" t="s">
        <v>184</v>
      </c>
      <c r="C45" t="s">
        <v>158</v>
      </c>
      <c r="D45">
        <v>22.94</v>
      </c>
      <c r="E45">
        <v>41.91</v>
      </c>
      <c r="F45" s="19">
        <f t="shared" si="0"/>
        <v>961.41539999999998</v>
      </c>
      <c r="H45" s="19"/>
      <c r="M45" s="69" t="s">
        <v>274</v>
      </c>
      <c r="N45" s="69"/>
      <c r="O45" s="69"/>
      <c r="P45" s="69"/>
      <c r="Q45" s="69"/>
      <c r="R45" s="69"/>
      <c r="T45" t="s">
        <v>303</v>
      </c>
    </row>
    <row r="46" spans="1:26" x14ac:dyDescent="0.25">
      <c r="B46" t="s">
        <v>185</v>
      </c>
      <c r="C46" t="s">
        <v>182</v>
      </c>
      <c r="D46">
        <v>328.62</v>
      </c>
      <c r="E46">
        <v>4.17</v>
      </c>
      <c r="F46" s="19">
        <f t="shared" si="0"/>
        <v>1370.3453999999999</v>
      </c>
      <c r="H46" s="19"/>
      <c r="M46" s="69"/>
      <c r="N46" s="69" t="s">
        <v>154</v>
      </c>
      <c r="O46" s="69" t="s">
        <v>276</v>
      </c>
      <c r="P46" s="69">
        <f>2.7*2.7</f>
        <v>7.2900000000000009</v>
      </c>
      <c r="Q46" s="69">
        <f t="shared" ref="Q46:Q50" si="10">Q36</f>
        <v>142.52258</v>
      </c>
      <c r="R46" s="69">
        <f>P46*Q46</f>
        <v>1038.9896082000002</v>
      </c>
    </row>
    <row r="47" spans="1:26" x14ac:dyDescent="0.25">
      <c r="B47" t="s">
        <v>194</v>
      </c>
      <c r="C47" t="s">
        <v>158</v>
      </c>
      <c r="D47" s="17">
        <v>66.66</v>
      </c>
      <c r="E47">
        <v>38.58</v>
      </c>
      <c r="F47" s="19">
        <f t="shared" si="0"/>
        <v>2571.7427999999995</v>
      </c>
      <c r="H47" s="19"/>
      <c r="M47" s="69"/>
      <c r="N47" s="69" t="s">
        <v>152</v>
      </c>
      <c r="O47" s="69" t="s">
        <v>275</v>
      </c>
      <c r="P47" s="69">
        <v>1</v>
      </c>
      <c r="Q47" s="69">
        <f t="shared" si="10"/>
        <v>179.31</v>
      </c>
      <c r="R47" s="69">
        <f>P47*Q47</f>
        <v>179.31</v>
      </c>
      <c r="U47" t="s">
        <v>152</v>
      </c>
      <c r="V47" t="s">
        <v>275</v>
      </c>
      <c r="W47">
        <v>1</v>
      </c>
      <c r="X47">
        <f t="shared" ref="X47:X50" si="11">Q47</f>
        <v>179.31</v>
      </c>
      <c r="Y47">
        <f>W47*X47</f>
        <v>179.31</v>
      </c>
    </row>
    <row r="48" spans="1:26" x14ac:dyDescent="0.25">
      <c r="B48" t="s">
        <v>195</v>
      </c>
      <c r="C48" t="s">
        <v>158</v>
      </c>
      <c r="D48" s="18">
        <v>86.05</v>
      </c>
      <c r="E48">
        <v>14.2</v>
      </c>
      <c r="F48" s="19">
        <f t="shared" si="0"/>
        <v>1221.9099999999999</v>
      </c>
      <c r="H48" s="19"/>
      <c r="M48" s="69"/>
      <c r="N48" s="69" t="s">
        <v>155</v>
      </c>
      <c r="O48" s="69" t="s">
        <v>277</v>
      </c>
      <c r="P48" s="69">
        <f>4*2.7*2.7</f>
        <v>29.160000000000004</v>
      </c>
      <c r="Q48" s="70">
        <f t="shared" si="10"/>
        <v>161.8535718571857</v>
      </c>
      <c r="R48" s="69">
        <f>P48*Q48</f>
        <v>4719.6501553555354</v>
      </c>
      <c r="U48" t="s">
        <v>155</v>
      </c>
      <c r="V48" t="s">
        <v>277</v>
      </c>
      <c r="W48">
        <f>4*2.7*2.7</f>
        <v>29.160000000000004</v>
      </c>
      <c r="X48">
        <f t="shared" si="11"/>
        <v>161.8535718571857</v>
      </c>
      <c r="Y48">
        <f t="shared" ref="Y48:Y50" si="12">W48*X48</f>
        <v>4719.6501553555354</v>
      </c>
    </row>
    <row r="49" spans="1:26" x14ac:dyDescent="0.25">
      <c r="B49" t="s">
        <v>196</v>
      </c>
      <c r="C49" t="s">
        <v>158</v>
      </c>
      <c r="D49">
        <v>36.270000000000003</v>
      </c>
      <c r="E49">
        <v>14.17</v>
      </c>
      <c r="F49" s="19">
        <f t="shared" si="0"/>
        <v>513.94590000000005</v>
      </c>
      <c r="H49" s="19"/>
      <c r="M49" s="69"/>
      <c r="N49" s="69" t="s">
        <v>268</v>
      </c>
      <c r="O49" s="69" t="s">
        <v>278</v>
      </c>
      <c r="P49" s="69">
        <f>2.7*2.7</f>
        <v>7.2900000000000009</v>
      </c>
      <c r="Q49" s="69">
        <f t="shared" si="10"/>
        <v>178.16794828076158</v>
      </c>
      <c r="R49" s="69">
        <f>P49*Q49</f>
        <v>1298.844342966752</v>
      </c>
      <c r="U49" t="s">
        <v>268</v>
      </c>
      <c r="V49" t="s">
        <v>278</v>
      </c>
      <c r="W49">
        <f>2.7*2.7</f>
        <v>7.2900000000000009</v>
      </c>
      <c r="X49">
        <f t="shared" si="11"/>
        <v>178.16794828076158</v>
      </c>
      <c r="Y49">
        <f t="shared" si="12"/>
        <v>1298.844342966752</v>
      </c>
    </row>
    <row r="50" spans="1:26" x14ac:dyDescent="0.25">
      <c r="B50" t="s">
        <v>197</v>
      </c>
      <c r="C50" t="s">
        <v>198</v>
      </c>
      <c r="D50">
        <v>41.5</v>
      </c>
      <c r="E50">
        <v>8.6999999999999993</v>
      </c>
      <c r="F50" s="19">
        <f t="shared" si="0"/>
        <v>361.04999999999995</v>
      </c>
      <c r="H50" s="19"/>
      <c r="M50" s="69"/>
      <c r="N50" s="69" t="s">
        <v>269</v>
      </c>
      <c r="O50" s="69" t="s">
        <v>279</v>
      </c>
      <c r="P50" s="69">
        <f>2.7*2.7</f>
        <v>7.2900000000000009</v>
      </c>
      <c r="Q50" s="69">
        <f t="shared" si="10"/>
        <v>33.977718518518522</v>
      </c>
      <c r="R50" s="69">
        <f>P50*Q50</f>
        <v>247.69756800000005</v>
      </c>
      <c r="U50" t="s">
        <v>269</v>
      </c>
      <c r="V50" t="s">
        <v>279</v>
      </c>
      <c r="W50">
        <f>2.7*2.7</f>
        <v>7.2900000000000009</v>
      </c>
      <c r="X50">
        <f t="shared" si="11"/>
        <v>33.977718518518522</v>
      </c>
      <c r="Y50">
        <f t="shared" si="12"/>
        <v>247.69756800000005</v>
      </c>
    </row>
    <row r="51" spans="1:26" x14ac:dyDescent="0.25">
      <c r="B51" t="s">
        <v>207</v>
      </c>
      <c r="C51" t="s">
        <v>209</v>
      </c>
      <c r="D51">
        <v>1</v>
      </c>
      <c r="E51">
        <v>280</v>
      </c>
      <c r="F51" s="19">
        <f t="shared" si="0"/>
        <v>280</v>
      </c>
      <c r="H51" s="19"/>
      <c r="M51" s="69"/>
      <c r="N51" s="69" t="s">
        <v>280</v>
      </c>
      <c r="O51" s="69"/>
      <c r="P51" s="69"/>
      <c r="Q51" s="69"/>
      <c r="R51" s="69">
        <f>SUM(R46:R50)</f>
        <v>7484.4916745222872</v>
      </c>
      <c r="U51" t="s">
        <v>280</v>
      </c>
      <c r="Y51">
        <f>SUM(Y47:Y50)</f>
        <v>6445.5020663222876</v>
      </c>
    </row>
    <row r="52" spans="1:26" x14ac:dyDescent="0.25">
      <c r="B52" t="s">
        <v>208</v>
      </c>
      <c r="C52" t="s">
        <v>209</v>
      </c>
      <c r="D52">
        <v>9</v>
      </c>
      <c r="E52">
        <v>4.46</v>
      </c>
      <c r="F52" s="19">
        <f t="shared" si="0"/>
        <v>40.14</v>
      </c>
      <c r="H52" s="19"/>
      <c r="M52" s="69">
        <v>0.15</v>
      </c>
      <c r="N52" s="69" t="s">
        <v>270</v>
      </c>
      <c r="O52" s="69"/>
      <c r="P52" s="69"/>
      <c r="Q52" s="69"/>
      <c r="R52" s="69">
        <f>R51*M52</f>
        <v>1122.6737511783431</v>
      </c>
      <c r="T52">
        <v>0.15</v>
      </c>
      <c r="U52" t="s">
        <v>270</v>
      </c>
      <c r="Y52">
        <f>Y51*T52</f>
        <v>966.82530994834315</v>
      </c>
    </row>
    <row r="53" spans="1:26" x14ac:dyDescent="0.25">
      <c r="B53" t="s">
        <v>212</v>
      </c>
      <c r="C53" t="s">
        <v>209</v>
      </c>
      <c r="D53">
        <v>3</v>
      </c>
      <c r="E53">
        <v>250</v>
      </c>
      <c r="F53" s="19">
        <f t="shared" si="0"/>
        <v>750</v>
      </c>
      <c r="H53" s="19"/>
      <c r="M53" s="69">
        <v>0.15</v>
      </c>
      <c r="N53" s="69" t="s">
        <v>271</v>
      </c>
      <c r="O53" s="69"/>
      <c r="P53" s="69"/>
      <c r="Q53" s="69"/>
      <c r="R53" s="69">
        <f>R52+I73+I85</f>
        <v>3368.0466511783425</v>
      </c>
      <c r="T53">
        <v>0.15</v>
      </c>
      <c r="U53" t="s">
        <v>271</v>
      </c>
      <c r="Y53">
        <f>Y52+I73+I85</f>
        <v>3212.198209948343</v>
      </c>
    </row>
    <row r="54" spans="1:26" x14ac:dyDescent="0.25">
      <c r="B54" t="s">
        <v>213</v>
      </c>
      <c r="C54" t="s">
        <v>209</v>
      </c>
      <c r="D54">
        <v>1</v>
      </c>
      <c r="E54">
        <v>65</v>
      </c>
      <c r="F54" s="19">
        <f t="shared" si="0"/>
        <v>65</v>
      </c>
      <c r="H54" s="19"/>
      <c r="M54" s="69"/>
      <c r="N54" s="71" t="s">
        <v>281</v>
      </c>
      <c r="O54" s="69"/>
      <c r="P54" s="69"/>
      <c r="Q54" s="69"/>
      <c r="R54" s="71">
        <f>R51+R52+R53</f>
        <v>11975.212076878972</v>
      </c>
      <c r="U54" s="14" t="s">
        <v>281</v>
      </c>
      <c r="Y54" s="14">
        <f>Y52+Y53+Y51</f>
        <v>10624.525586218973</v>
      </c>
      <c r="Z54">
        <f>Y54/$G$92*100</f>
        <v>36.148556857339287</v>
      </c>
    </row>
    <row r="55" spans="1:26" x14ac:dyDescent="0.25">
      <c r="B55" t="s">
        <v>215</v>
      </c>
      <c r="C55" t="s">
        <v>158</v>
      </c>
      <c r="D55">
        <v>36.270000000000003</v>
      </c>
      <c r="E55">
        <v>7.26</v>
      </c>
      <c r="F55" s="19">
        <f t="shared" si="0"/>
        <v>263.3202</v>
      </c>
      <c r="H55" s="19"/>
      <c r="M55" s="69" t="s">
        <v>304</v>
      </c>
    </row>
    <row r="56" spans="1:26" x14ac:dyDescent="0.25">
      <c r="B56" t="s">
        <v>216</v>
      </c>
      <c r="C56" t="s">
        <v>158</v>
      </c>
      <c r="D56">
        <v>86.05</v>
      </c>
      <c r="E56">
        <v>6.08</v>
      </c>
      <c r="F56" s="19">
        <f t="shared" si="0"/>
        <v>523.18399999999997</v>
      </c>
      <c r="H56" s="19"/>
    </row>
    <row r="57" spans="1:26" x14ac:dyDescent="0.25">
      <c r="B57" t="s">
        <v>246</v>
      </c>
      <c r="C57" t="s">
        <v>225</v>
      </c>
      <c r="D57">
        <v>5</v>
      </c>
      <c r="E57">
        <v>69.19</v>
      </c>
      <c r="F57" s="19">
        <f t="shared" si="0"/>
        <v>345.95</v>
      </c>
      <c r="H57" s="19"/>
      <c r="Q57" s="73" t="s">
        <v>307</v>
      </c>
      <c r="R57" s="73"/>
      <c r="S57" s="17">
        <f>(R24+Y24+R34+Y34+R44+Y44+Y54)/7</f>
        <v>8573.8718528037462</v>
      </c>
      <c r="T57">
        <v>2009</v>
      </c>
    </row>
    <row r="58" spans="1:26" x14ac:dyDescent="0.25">
      <c r="A58" s="14" t="s">
        <v>218</v>
      </c>
      <c r="F58" s="19"/>
      <c r="G58">
        <f>SUM(F59:F69)</f>
        <v>6269.7300999999998</v>
      </c>
      <c r="H58" s="19">
        <f t="shared" si="4"/>
        <v>21.331935544867761</v>
      </c>
      <c r="I58">
        <f>G58/D66</f>
        <v>178.16794828076158</v>
      </c>
      <c r="J58" t="s">
        <v>265</v>
      </c>
      <c r="P58" s="72" t="s">
        <v>308</v>
      </c>
      <c r="Q58" s="72"/>
      <c r="R58" s="72"/>
      <c r="S58">
        <f>S57+(S57*0.028)</f>
        <v>8813.9402646822509</v>
      </c>
      <c r="T58">
        <v>2010</v>
      </c>
    </row>
    <row r="59" spans="1:26" x14ac:dyDescent="0.25">
      <c r="B59" t="s">
        <v>186</v>
      </c>
      <c r="C59" t="s">
        <v>157</v>
      </c>
      <c r="D59">
        <v>1.86</v>
      </c>
      <c r="E59">
        <v>312.95999999999998</v>
      </c>
      <c r="F59" s="19">
        <f t="shared" si="0"/>
        <v>582.10559999999998</v>
      </c>
      <c r="H59" s="19"/>
      <c r="S59">
        <f>S58+(S58*0.028)</f>
        <v>9060.7305920933541</v>
      </c>
      <c r="T59">
        <v>2011</v>
      </c>
    </row>
    <row r="60" spans="1:26" x14ac:dyDescent="0.25">
      <c r="B60" t="s">
        <v>187</v>
      </c>
      <c r="C60" t="s">
        <v>158</v>
      </c>
      <c r="D60">
        <v>5.09</v>
      </c>
      <c r="E60">
        <v>42.46</v>
      </c>
      <c r="F60" s="19">
        <f t="shared" si="0"/>
        <v>216.12139999999999</v>
      </c>
      <c r="H60" s="19"/>
      <c r="S60">
        <f>S59+(S59*0.028)</f>
        <v>9314.4310486719678</v>
      </c>
      <c r="T60">
        <v>2012</v>
      </c>
    </row>
    <row r="61" spans="1:26" x14ac:dyDescent="0.25">
      <c r="B61" t="s">
        <v>188</v>
      </c>
      <c r="C61" t="s">
        <v>182</v>
      </c>
      <c r="D61">
        <v>226.83</v>
      </c>
      <c r="E61">
        <v>4.17</v>
      </c>
      <c r="F61" s="19">
        <f t="shared" si="0"/>
        <v>945.88110000000006</v>
      </c>
      <c r="H61" s="19"/>
      <c r="S61">
        <f>S60+(S60*0.028)</f>
        <v>9575.2351180347832</v>
      </c>
      <c r="T61">
        <v>2013</v>
      </c>
    </row>
    <row r="62" spans="1:26" x14ac:dyDescent="0.25">
      <c r="A62" s="18"/>
      <c r="B62" t="s">
        <v>189</v>
      </c>
      <c r="C62" t="s">
        <v>157</v>
      </c>
      <c r="D62">
        <v>1.98</v>
      </c>
      <c r="E62">
        <v>301.01</v>
      </c>
      <c r="F62" s="19">
        <f t="shared" si="0"/>
        <v>595.99979999999994</v>
      </c>
      <c r="H62" s="19"/>
      <c r="S62">
        <f>S61+(S61*0.028)</f>
        <v>9843.3417013397575</v>
      </c>
      <c r="T62">
        <v>2014</v>
      </c>
    </row>
    <row r="63" spans="1:26" x14ac:dyDescent="0.25">
      <c r="B63" t="s">
        <v>190</v>
      </c>
      <c r="C63" t="s">
        <v>158</v>
      </c>
      <c r="D63" s="17">
        <v>30.93</v>
      </c>
      <c r="E63">
        <v>30.51</v>
      </c>
      <c r="F63" s="19">
        <f t="shared" si="0"/>
        <v>943.67430000000002</v>
      </c>
      <c r="H63" s="19"/>
      <c r="S63" s="17">
        <f>S62+(S62*0.028)</f>
        <v>10118.95526897727</v>
      </c>
      <c r="T63" s="17">
        <v>2015</v>
      </c>
    </row>
    <row r="64" spans="1:26" x14ac:dyDescent="0.25">
      <c r="B64" t="s">
        <v>191</v>
      </c>
      <c r="C64" t="s">
        <v>182</v>
      </c>
      <c r="D64">
        <v>205.48</v>
      </c>
      <c r="E64">
        <v>4.17</v>
      </c>
      <c r="F64" s="19">
        <f t="shared" si="0"/>
        <v>856.85159999999996</v>
      </c>
      <c r="H64" s="19"/>
    </row>
    <row r="65" spans="1:10" x14ac:dyDescent="0.25">
      <c r="B65" t="s">
        <v>192</v>
      </c>
      <c r="C65" t="s">
        <v>193</v>
      </c>
      <c r="D65">
        <v>248</v>
      </c>
      <c r="E65">
        <v>1.91</v>
      </c>
      <c r="F65" s="19">
        <f t="shared" si="0"/>
        <v>473.68</v>
      </c>
      <c r="H65" s="19"/>
    </row>
    <row r="66" spans="1:10" x14ac:dyDescent="0.25">
      <c r="B66" t="s">
        <v>201</v>
      </c>
      <c r="C66" t="s">
        <v>158</v>
      </c>
      <c r="D66">
        <v>35.19</v>
      </c>
      <c r="E66">
        <v>27.34</v>
      </c>
      <c r="F66" s="19">
        <f t="shared" si="0"/>
        <v>962.0945999999999</v>
      </c>
      <c r="H66" s="19"/>
    </row>
    <row r="67" spans="1:10" x14ac:dyDescent="0.25">
      <c r="B67" t="s">
        <v>214</v>
      </c>
      <c r="C67" t="s">
        <v>158</v>
      </c>
      <c r="D67">
        <v>35.19</v>
      </c>
      <c r="E67">
        <v>5.19</v>
      </c>
      <c r="F67" s="19">
        <f t="shared" si="0"/>
        <v>182.6361</v>
      </c>
      <c r="H67" s="19"/>
    </row>
    <row r="68" spans="1:10" x14ac:dyDescent="0.25">
      <c r="B68" t="s">
        <v>217</v>
      </c>
      <c r="C68" t="s">
        <v>158</v>
      </c>
      <c r="D68">
        <v>40.21</v>
      </c>
      <c r="E68">
        <v>6.36</v>
      </c>
      <c r="F68" s="19">
        <f t="shared" si="0"/>
        <v>255.73560000000001</v>
      </c>
      <c r="H68" s="19"/>
    </row>
    <row r="69" spans="1:10" x14ac:dyDescent="0.25">
      <c r="B69" t="s">
        <v>245</v>
      </c>
      <c r="C69" t="s">
        <v>225</v>
      </c>
      <c r="D69">
        <v>5</v>
      </c>
      <c r="E69">
        <v>50.99</v>
      </c>
      <c r="F69" s="19">
        <f t="shared" si="0"/>
        <v>254.95000000000002</v>
      </c>
      <c r="H69" s="19"/>
    </row>
    <row r="70" spans="1:10" x14ac:dyDescent="0.25">
      <c r="A70" s="14" t="s">
        <v>156</v>
      </c>
      <c r="F70" s="19"/>
      <c r="G70">
        <f>SUM(F71:F72)</f>
        <v>1146.748</v>
      </c>
      <c r="H70" s="19">
        <f t="shared" ref="H70:H85" si="13">G70/$G$92*100</f>
        <v>3.9016598852008024</v>
      </c>
      <c r="I70">
        <f>G70/(D71+D72)</f>
        <v>33.977718518518522</v>
      </c>
      <c r="J70" t="s">
        <v>266</v>
      </c>
    </row>
    <row r="71" spans="1:10" x14ac:dyDescent="0.25">
      <c r="B71" t="s">
        <v>202</v>
      </c>
      <c r="C71" t="s">
        <v>158</v>
      </c>
      <c r="D71" s="17">
        <v>24.17</v>
      </c>
      <c r="E71">
        <v>28.84</v>
      </c>
      <c r="F71" s="19">
        <f t="shared" ref="F71:F91" si="14">D71*E71</f>
        <v>697.06280000000004</v>
      </c>
      <c r="H71" s="19"/>
    </row>
    <row r="72" spans="1:10" x14ac:dyDescent="0.25">
      <c r="B72" t="s">
        <v>203</v>
      </c>
      <c r="C72" t="s">
        <v>158</v>
      </c>
      <c r="D72" s="17">
        <v>9.58</v>
      </c>
      <c r="E72">
        <v>46.94</v>
      </c>
      <c r="F72" s="19">
        <f t="shared" si="14"/>
        <v>449.68520000000001</v>
      </c>
      <c r="H72" s="19"/>
    </row>
    <row r="73" spans="1:10" x14ac:dyDescent="0.25">
      <c r="A73" s="14" t="s">
        <v>238</v>
      </c>
      <c r="F73" s="19"/>
      <c r="G73">
        <f>SUM(F74:F84)</f>
        <v>1505.2403999999999</v>
      </c>
      <c r="H73" s="19">
        <f t="shared" si="13"/>
        <v>5.1213833259474706</v>
      </c>
      <c r="I73">
        <f>G73</f>
        <v>1505.2403999999999</v>
      </c>
      <c r="J73" t="s">
        <v>163</v>
      </c>
    </row>
    <row r="74" spans="1:10" x14ac:dyDescent="0.25">
      <c r="B74" t="s">
        <v>200</v>
      </c>
      <c r="C74" t="s">
        <v>158</v>
      </c>
      <c r="D74">
        <v>8.06</v>
      </c>
      <c r="E74">
        <v>37.340000000000003</v>
      </c>
      <c r="F74" s="19">
        <f t="shared" si="14"/>
        <v>300.96040000000005</v>
      </c>
      <c r="H74" s="19"/>
    </row>
    <row r="75" spans="1:10" x14ac:dyDescent="0.25">
      <c r="B75" t="s">
        <v>205</v>
      </c>
      <c r="C75" t="s">
        <v>160</v>
      </c>
      <c r="D75">
        <v>7</v>
      </c>
      <c r="E75">
        <v>8.14</v>
      </c>
      <c r="F75" s="19">
        <f t="shared" si="14"/>
        <v>56.980000000000004</v>
      </c>
      <c r="H75" s="19"/>
    </row>
    <row r="76" spans="1:10" x14ac:dyDescent="0.25">
      <c r="B76" t="s">
        <v>211</v>
      </c>
      <c r="C76" t="s">
        <v>209</v>
      </c>
      <c r="D76">
        <v>1</v>
      </c>
      <c r="E76">
        <v>26.37</v>
      </c>
      <c r="F76" s="19">
        <f t="shared" si="14"/>
        <v>26.37</v>
      </c>
      <c r="H76" s="19"/>
    </row>
    <row r="77" spans="1:10" x14ac:dyDescent="0.25">
      <c r="B77" t="s">
        <v>220</v>
      </c>
      <c r="C77" t="s">
        <v>209</v>
      </c>
      <c r="D77">
        <v>1</v>
      </c>
      <c r="E77">
        <v>265.83</v>
      </c>
      <c r="F77" s="19">
        <f t="shared" si="14"/>
        <v>265.83</v>
      </c>
      <c r="H77" s="19"/>
    </row>
    <row r="78" spans="1:10" x14ac:dyDescent="0.25">
      <c r="B78" t="s">
        <v>221</v>
      </c>
      <c r="C78" t="s">
        <v>209</v>
      </c>
      <c r="D78">
        <v>1</v>
      </c>
      <c r="E78">
        <v>137.53</v>
      </c>
      <c r="F78" s="19">
        <f t="shared" si="14"/>
        <v>137.53</v>
      </c>
      <c r="H78" s="19"/>
    </row>
    <row r="79" spans="1:10" x14ac:dyDescent="0.25">
      <c r="B79" t="s">
        <v>223</v>
      </c>
      <c r="C79" t="s">
        <v>193</v>
      </c>
      <c r="D79">
        <v>1</v>
      </c>
      <c r="E79">
        <v>64.98</v>
      </c>
      <c r="F79" s="19">
        <f t="shared" si="14"/>
        <v>64.98</v>
      </c>
      <c r="H79" s="19"/>
    </row>
    <row r="80" spans="1:10" x14ac:dyDescent="0.25">
      <c r="B80" t="s">
        <v>226</v>
      </c>
      <c r="C80" t="s">
        <v>225</v>
      </c>
      <c r="D80">
        <v>3</v>
      </c>
      <c r="E80">
        <v>59.03</v>
      </c>
      <c r="F80" s="19">
        <f t="shared" si="14"/>
        <v>177.09</v>
      </c>
      <c r="H80" s="19"/>
    </row>
    <row r="81" spans="1:10" x14ac:dyDescent="0.25">
      <c r="B81" t="s">
        <v>227</v>
      </c>
      <c r="C81" t="s">
        <v>225</v>
      </c>
      <c r="D81">
        <v>1</v>
      </c>
      <c r="E81">
        <v>37.35</v>
      </c>
      <c r="F81" s="19">
        <f t="shared" si="14"/>
        <v>37.35</v>
      </c>
      <c r="H81" s="19"/>
    </row>
    <row r="82" spans="1:10" x14ac:dyDescent="0.25">
      <c r="B82" t="s">
        <v>229</v>
      </c>
      <c r="C82" t="s">
        <v>230</v>
      </c>
      <c r="D82">
        <v>20</v>
      </c>
      <c r="E82">
        <v>20.67</v>
      </c>
      <c r="F82" s="19">
        <f t="shared" si="14"/>
        <v>413.40000000000003</v>
      </c>
      <c r="H82" s="19"/>
    </row>
    <row r="83" spans="1:10" x14ac:dyDescent="0.25">
      <c r="B83" t="s">
        <v>233</v>
      </c>
      <c r="C83" t="s">
        <v>209</v>
      </c>
      <c r="D83">
        <v>1</v>
      </c>
      <c r="E83">
        <v>17.16</v>
      </c>
      <c r="F83" s="19">
        <f t="shared" si="14"/>
        <v>17.16</v>
      </c>
      <c r="H83" s="19"/>
    </row>
    <row r="84" spans="1:10" x14ac:dyDescent="0.25">
      <c r="B84" t="s">
        <v>235</v>
      </c>
      <c r="C84" t="s">
        <v>209</v>
      </c>
      <c r="D84">
        <v>1</v>
      </c>
      <c r="E84">
        <v>7.59</v>
      </c>
      <c r="F84" s="19">
        <f t="shared" si="14"/>
        <v>7.59</v>
      </c>
      <c r="H84" s="19"/>
    </row>
    <row r="85" spans="1:10" x14ac:dyDescent="0.25">
      <c r="A85" s="14" t="s">
        <v>237</v>
      </c>
      <c r="F85" s="19"/>
      <c r="G85">
        <f>SUM(F86:F91)</f>
        <v>1480.2649999999999</v>
      </c>
      <c r="H85" s="19">
        <f t="shared" si="13"/>
        <v>5.0364077983713642</v>
      </c>
      <c r="I85">
        <f>G85/2</f>
        <v>740.13249999999994</v>
      </c>
      <c r="J85" t="s">
        <v>261</v>
      </c>
    </row>
    <row r="86" spans="1:10" x14ac:dyDescent="0.25">
      <c r="B86" t="s">
        <v>224</v>
      </c>
      <c r="C86" t="s">
        <v>225</v>
      </c>
      <c r="D86">
        <v>7</v>
      </c>
      <c r="E86">
        <v>45.06</v>
      </c>
      <c r="F86" s="19">
        <f t="shared" si="14"/>
        <v>315.42</v>
      </c>
    </row>
    <row r="87" spans="1:10" x14ac:dyDescent="0.25">
      <c r="B87" t="s">
        <v>231</v>
      </c>
      <c r="C87" t="s">
        <v>230</v>
      </c>
      <c r="D87">
        <v>17</v>
      </c>
      <c r="E87">
        <v>16.18</v>
      </c>
      <c r="F87" s="19">
        <f t="shared" si="14"/>
        <v>275.06</v>
      </c>
    </row>
    <row r="88" spans="1:10" x14ac:dyDescent="0.25">
      <c r="B88" t="s">
        <v>234</v>
      </c>
      <c r="C88" t="s">
        <v>193</v>
      </c>
      <c r="D88">
        <v>3</v>
      </c>
      <c r="E88">
        <v>18.68</v>
      </c>
      <c r="F88" s="19">
        <f t="shared" si="14"/>
        <v>56.04</v>
      </c>
    </row>
    <row r="89" spans="1:10" x14ac:dyDescent="0.25">
      <c r="B89" t="s">
        <v>239</v>
      </c>
      <c r="C89" t="s">
        <v>225</v>
      </c>
      <c r="D89">
        <v>6</v>
      </c>
      <c r="E89">
        <v>49.87</v>
      </c>
      <c r="F89" s="19">
        <f t="shared" si="14"/>
        <v>299.21999999999997</v>
      </c>
    </row>
    <row r="90" spans="1:10" x14ac:dyDescent="0.25">
      <c r="B90" t="s">
        <v>240</v>
      </c>
      <c r="C90" t="s">
        <v>230</v>
      </c>
      <c r="D90">
        <v>25.5</v>
      </c>
      <c r="E90">
        <v>10.43</v>
      </c>
      <c r="F90" s="19">
        <f t="shared" si="14"/>
        <v>265.96499999999997</v>
      </c>
    </row>
    <row r="91" spans="1:10" x14ac:dyDescent="0.25">
      <c r="B91" t="s">
        <v>241</v>
      </c>
      <c r="C91" t="s">
        <v>209</v>
      </c>
      <c r="D91">
        <v>4</v>
      </c>
      <c r="E91">
        <v>67.14</v>
      </c>
      <c r="F91" s="19">
        <f t="shared" si="14"/>
        <v>268.56</v>
      </c>
    </row>
    <row r="92" spans="1:10" x14ac:dyDescent="0.25">
      <c r="D92" s="68" t="s">
        <v>281</v>
      </c>
      <c r="E92" s="68"/>
      <c r="F92" s="68"/>
      <c r="G92" s="14">
        <f>SUM(G4:G85)</f>
        <v>29391.285599999999</v>
      </c>
    </row>
    <row r="93" spans="1:10" x14ac:dyDescent="0.25">
      <c r="D93" s="67" t="s">
        <v>282</v>
      </c>
      <c r="E93" s="67"/>
      <c r="F93" s="67"/>
      <c r="G93">
        <f>Unitarios2009!H9</f>
        <v>18997.599999999995</v>
      </c>
    </row>
    <row r="94" spans="1:10" x14ac:dyDescent="0.25">
      <c r="D94" s="67" t="s">
        <v>283</v>
      </c>
      <c r="E94" s="67"/>
      <c r="F94" s="67"/>
      <c r="G94" s="20">
        <f>G92/G93</f>
        <v>1.5471051922348089</v>
      </c>
    </row>
  </sheetData>
  <mergeCells count="5">
    <mergeCell ref="D94:F94"/>
    <mergeCell ref="D92:F92"/>
    <mergeCell ref="D93:F93"/>
    <mergeCell ref="P58:R58"/>
    <mergeCell ref="Q57:R5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Cardenas_vanesa</vt:lpstr>
      <vt:lpstr>Unitarios2009</vt:lpstr>
      <vt:lpstr>mis_parties_CV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Edgar Mauricio Poco Aguilar</dc:creator>
  <cp:lastModifiedBy>Sergio Edgar Mauricio Poco Aguilar</cp:lastModifiedBy>
  <dcterms:created xsi:type="dcterms:W3CDTF">2023-08-09T10:36:19Z</dcterms:created>
  <dcterms:modified xsi:type="dcterms:W3CDTF">2023-08-09T15:57:49Z</dcterms:modified>
</cp:coreProperties>
</file>