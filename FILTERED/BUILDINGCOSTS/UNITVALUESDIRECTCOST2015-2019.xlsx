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ESIS SCRIPTING\R\INPUT DATA\FILTERED\BUILDINGCOSTS\"/>
    </mc:Choice>
  </mc:AlternateContent>
  <xr:revisionPtr revIDLastSave="0" documentId="13_ncr:1_{50B3D717-40BC-4031-936B-8899FF98144D}" xr6:coauthVersionLast="47" xr6:coauthVersionMax="47" xr10:uidLastSave="{00000000-0000-0000-0000-000000000000}"/>
  <bookViews>
    <workbookView xWindow="-120" yWindow="-120" windowWidth="29040" windowHeight="17640" activeTab="2" xr2:uid="{4B2B21FC-27E8-4F8B-B3D3-A3EA3C66D672}"/>
  </bookViews>
  <sheets>
    <sheet name="Sources" sheetId="1" r:id="rId1"/>
    <sheet name="CalcXsize" sheetId="2" r:id="rId2"/>
    <sheet name="Project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2" l="1"/>
  <c r="B32" i="2"/>
  <c r="AB28" i="2"/>
  <c r="AB27" i="2"/>
  <c r="AB26" i="2"/>
  <c r="AB25" i="2"/>
  <c r="AB24" i="2"/>
  <c r="AB23" i="2"/>
  <c r="AB22" i="2"/>
  <c r="AB18" i="2"/>
  <c r="AB17" i="2"/>
  <c r="AB16" i="2"/>
  <c r="AB15" i="2"/>
  <c r="AB14" i="2"/>
  <c r="AB13" i="2"/>
  <c r="AB12" i="2"/>
  <c r="AC12" i="2" s="1"/>
  <c r="AB8" i="2"/>
  <c r="AB7" i="2"/>
  <c r="AB6" i="2"/>
  <c r="AB5" i="2"/>
  <c r="AB4" i="2"/>
  <c r="AB3" i="2"/>
  <c r="AB2" i="2"/>
  <c r="V28" i="2"/>
  <c r="V27" i="2"/>
  <c r="V26" i="2"/>
  <c r="V25" i="2"/>
  <c r="V24" i="2"/>
  <c r="W24" i="2" s="1"/>
  <c r="V23" i="2"/>
  <c r="V22" i="2"/>
  <c r="V18" i="2"/>
  <c r="V17" i="2"/>
  <c r="V16" i="2"/>
  <c r="V15" i="2"/>
  <c r="V14" i="2"/>
  <c r="V13" i="2"/>
  <c r="V12" i="2"/>
  <c r="W12" i="2" s="1"/>
  <c r="V8" i="2"/>
  <c r="V7" i="2"/>
  <c r="V6" i="2"/>
  <c r="V5" i="2"/>
  <c r="V4" i="2"/>
  <c r="V3" i="2"/>
  <c r="V2" i="2"/>
  <c r="P28" i="2"/>
  <c r="Q28" i="2" s="1"/>
  <c r="P27" i="2"/>
  <c r="P26" i="2"/>
  <c r="P25" i="2"/>
  <c r="Q25" i="2" s="1"/>
  <c r="P24" i="2"/>
  <c r="P23" i="2"/>
  <c r="P22" i="2"/>
  <c r="P18" i="2"/>
  <c r="P17" i="2"/>
  <c r="P16" i="2"/>
  <c r="P15" i="2"/>
  <c r="P14" i="2"/>
  <c r="P13" i="2"/>
  <c r="P12" i="2"/>
  <c r="P8" i="2"/>
  <c r="P7" i="2"/>
  <c r="P6" i="2"/>
  <c r="P5" i="2"/>
  <c r="P4" i="2"/>
  <c r="P3" i="2"/>
  <c r="Q3" i="2" s="1"/>
  <c r="P2" i="2"/>
  <c r="J28" i="2"/>
  <c r="K28" i="2" s="1"/>
  <c r="J27" i="2"/>
  <c r="K27" i="2" s="1"/>
  <c r="J26" i="2"/>
  <c r="J25" i="2"/>
  <c r="J24" i="2"/>
  <c r="J23" i="2"/>
  <c r="J22" i="2"/>
  <c r="J18" i="2"/>
  <c r="J17" i="2"/>
  <c r="K17" i="2" s="1"/>
  <c r="J16" i="2"/>
  <c r="J15" i="2"/>
  <c r="J14" i="2"/>
  <c r="J13" i="2"/>
  <c r="J12" i="2"/>
  <c r="J8" i="2"/>
  <c r="J7" i="2"/>
  <c r="K7" i="2" s="1"/>
  <c r="J6" i="2"/>
  <c r="J5" i="2"/>
  <c r="J4" i="2"/>
  <c r="K4" i="2" s="1"/>
  <c r="J3" i="2"/>
  <c r="J2" i="2"/>
  <c r="D28" i="2"/>
  <c r="D27" i="2"/>
  <c r="D26" i="2"/>
  <c r="D25" i="2"/>
  <c r="D24" i="2"/>
  <c r="D23" i="2"/>
  <c r="D22" i="2"/>
  <c r="D18" i="2"/>
  <c r="D17" i="2"/>
  <c r="D16" i="2"/>
  <c r="D15" i="2"/>
  <c r="D14" i="2"/>
  <c r="D13" i="2"/>
  <c r="D12" i="2"/>
  <c r="D3" i="2"/>
  <c r="D4" i="2"/>
  <c r="D5" i="2"/>
  <c r="D6" i="2"/>
  <c r="D7" i="2"/>
  <c r="D8" i="2"/>
  <c r="D2" i="2"/>
  <c r="E48" i="2"/>
  <c r="C47" i="2"/>
  <c r="E47" i="2" s="1"/>
  <c r="E46" i="2"/>
  <c r="C46" i="2"/>
  <c r="C45" i="2"/>
  <c r="E45" i="2" s="1"/>
  <c r="E44" i="2"/>
  <c r="C44" i="2"/>
  <c r="C43" i="2"/>
  <c r="E43" i="2" s="1"/>
  <c r="C42" i="2"/>
  <c r="E42" i="2" s="1"/>
  <c r="E41" i="2"/>
  <c r="C41" i="2"/>
  <c r="AA23" i="2"/>
  <c r="AC23" i="2" s="1"/>
  <c r="AA24" i="2"/>
  <c r="AA25" i="2"/>
  <c r="AC25" i="2" s="1"/>
  <c r="AA26" i="2"/>
  <c r="AA27" i="2"/>
  <c r="AA28" i="2"/>
  <c r="AA22" i="2"/>
  <c r="AA13" i="2"/>
  <c r="AC13" i="2" s="1"/>
  <c r="AA14" i="2"/>
  <c r="AA15" i="2"/>
  <c r="AC15" i="2" s="1"/>
  <c r="AA16" i="2"/>
  <c r="AA17" i="2"/>
  <c r="AA18" i="2"/>
  <c r="AC18" i="2" s="1"/>
  <c r="AA12" i="2"/>
  <c r="AA3" i="2"/>
  <c r="AA4" i="2"/>
  <c r="AA5" i="2"/>
  <c r="AA6" i="2"/>
  <c r="AA7" i="2"/>
  <c r="AA8" i="2"/>
  <c r="AA2" i="2"/>
  <c r="U23" i="2"/>
  <c r="U24" i="2"/>
  <c r="U25" i="2"/>
  <c r="U26" i="2"/>
  <c r="U27" i="2"/>
  <c r="U28" i="2"/>
  <c r="U22" i="2"/>
  <c r="U13" i="2"/>
  <c r="U14" i="2"/>
  <c r="U15" i="2"/>
  <c r="W15" i="2" s="1"/>
  <c r="U16" i="2"/>
  <c r="U17" i="2"/>
  <c r="U18" i="2"/>
  <c r="U12" i="2"/>
  <c r="U3" i="2"/>
  <c r="W3" i="2" s="1"/>
  <c r="U4" i="2"/>
  <c r="U5" i="2"/>
  <c r="U6" i="2"/>
  <c r="U7" i="2"/>
  <c r="U8" i="2"/>
  <c r="U2" i="2"/>
  <c r="W13" i="2"/>
  <c r="Q27" i="2"/>
  <c r="Q16" i="2"/>
  <c r="K26" i="2"/>
  <c r="K25" i="2"/>
  <c r="K16" i="2"/>
  <c r="E23" i="2"/>
  <c r="E17" i="2"/>
  <c r="E7" i="2"/>
  <c r="AC17" i="2"/>
  <c r="W17" i="2"/>
  <c r="W16" i="2"/>
  <c r="Q26" i="2"/>
  <c r="Q18" i="2"/>
  <c r="Q17" i="2"/>
  <c r="Q7" i="2"/>
  <c r="Q6" i="2"/>
  <c r="K18" i="2"/>
  <c r="E18" i="2"/>
  <c r="O23" i="2"/>
  <c r="O24" i="2"/>
  <c r="O25" i="2"/>
  <c r="O26" i="2"/>
  <c r="O27" i="2"/>
  <c r="O28" i="2"/>
  <c r="O22" i="2"/>
  <c r="O13" i="2"/>
  <c r="Q13" i="2" s="1"/>
  <c r="O14" i="2"/>
  <c r="O15" i="2"/>
  <c r="Q15" i="2" s="1"/>
  <c r="O16" i="2"/>
  <c r="O17" i="2"/>
  <c r="O18" i="2"/>
  <c r="O12" i="2"/>
  <c r="O3" i="2"/>
  <c r="O4" i="2"/>
  <c r="Q4" i="2" s="1"/>
  <c r="O5" i="2"/>
  <c r="O6" i="2"/>
  <c r="O7" i="2"/>
  <c r="O8" i="2"/>
  <c r="O2" i="2"/>
  <c r="Q2" i="2" s="1"/>
  <c r="I23" i="2"/>
  <c r="K23" i="2" s="1"/>
  <c r="I24" i="2"/>
  <c r="I25" i="2"/>
  <c r="I26" i="2"/>
  <c r="I27" i="2"/>
  <c r="I28" i="2"/>
  <c r="I22" i="2"/>
  <c r="K22" i="2" s="1"/>
  <c r="I13" i="2"/>
  <c r="I14" i="2"/>
  <c r="I15" i="2"/>
  <c r="I16" i="2"/>
  <c r="I17" i="2"/>
  <c r="I18" i="2"/>
  <c r="I12" i="2"/>
  <c r="I3" i="2"/>
  <c r="K3" i="2" s="1"/>
  <c r="I4" i="2"/>
  <c r="I5" i="2"/>
  <c r="I6" i="2"/>
  <c r="I7" i="2"/>
  <c r="I8" i="2"/>
  <c r="I2" i="2"/>
  <c r="AC26" i="2"/>
  <c r="AC16" i="2"/>
  <c r="W28" i="2"/>
  <c r="W26" i="2"/>
  <c r="W18" i="2"/>
  <c r="W14" i="2"/>
  <c r="Q24" i="2"/>
  <c r="Q23" i="2"/>
  <c r="Q14" i="2"/>
  <c r="Q12" i="2"/>
  <c r="K24" i="2"/>
  <c r="K15" i="2"/>
  <c r="K14" i="2"/>
  <c r="K13" i="2"/>
  <c r="K12" i="2"/>
  <c r="AC5" i="2"/>
  <c r="AC4" i="2"/>
  <c r="AC2" i="2"/>
  <c r="W6" i="2"/>
  <c r="W5" i="2"/>
  <c r="W2" i="2"/>
  <c r="K6" i="2"/>
  <c r="K5" i="2"/>
  <c r="E27" i="2"/>
  <c r="C23" i="2"/>
  <c r="C24" i="2"/>
  <c r="C25" i="2"/>
  <c r="C26" i="2"/>
  <c r="C27" i="2"/>
  <c r="C28" i="2"/>
  <c r="C13" i="2"/>
  <c r="C14" i="2"/>
  <c r="C15" i="2"/>
  <c r="E15" i="2" s="1"/>
  <c r="C16" i="2"/>
  <c r="E16" i="2" s="1"/>
  <c r="C17" i="2"/>
  <c r="C18" i="2"/>
  <c r="C3" i="2"/>
  <c r="C4" i="2"/>
  <c r="C5" i="2"/>
  <c r="C6" i="2"/>
  <c r="C7" i="2"/>
  <c r="C8" i="2"/>
  <c r="E24" i="2"/>
  <c r="E25" i="2"/>
  <c r="E26" i="2"/>
  <c r="C22" i="2"/>
  <c r="E22" i="2" s="1"/>
  <c r="E13" i="2"/>
  <c r="E14" i="2"/>
  <c r="C12" i="2"/>
  <c r="E12" i="2" s="1"/>
  <c r="C2" i="2"/>
  <c r="AC24" i="2" l="1"/>
  <c r="AC22" i="2"/>
  <c r="AC14" i="2"/>
  <c r="W25" i="2"/>
  <c r="Q5" i="2"/>
  <c r="W23" i="2"/>
  <c r="W27" i="2"/>
  <c r="W4" i="2"/>
  <c r="Q8" i="2"/>
  <c r="K8" i="2"/>
  <c r="E28" i="2"/>
  <c r="E29" i="2" s="1"/>
  <c r="D54" i="4" s="1"/>
  <c r="E6" i="2"/>
  <c r="E4" i="2"/>
  <c r="E3" i="2"/>
  <c r="E2" i="2"/>
  <c r="AC28" i="2"/>
  <c r="AC27" i="2"/>
  <c r="AC19" i="2"/>
  <c r="D32" i="4" s="1"/>
  <c r="AC7" i="2"/>
  <c r="AC8" i="2"/>
  <c r="AC6" i="2"/>
  <c r="AC3" i="2"/>
  <c r="AC9" i="2" s="1"/>
  <c r="D6" i="4" s="1"/>
  <c r="W22" i="2"/>
  <c r="W7" i="2"/>
  <c r="W8" i="2"/>
  <c r="Q22" i="2"/>
  <c r="Q29" i="2" s="1"/>
  <c r="D56" i="4" s="1"/>
  <c r="K2" i="2"/>
  <c r="K9" i="2" s="1"/>
  <c r="D3" i="4" s="1"/>
  <c r="E5" i="2"/>
  <c r="E8" i="2"/>
  <c r="E9" i="2" s="1"/>
  <c r="W19" i="2"/>
  <c r="D31" i="4" s="1"/>
  <c r="Q19" i="2"/>
  <c r="D30" i="4" s="1"/>
  <c r="K29" i="2"/>
  <c r="D55" i="4" s="1"/>
  <c r="K19" i="2"/>
  <c r="D29" i="4" s="1"/>
  <c r="Q9" i="2"/>
  <c r="D4" i="4" s="1"/>
  <c r="E19" i="2"/>
  <c r="AC29" i="2" l="1"/>
  <c r="D58" i="4" s="1"/>
  <c r="E32" i="4"/>
  <c r="F32" i="4" s="1"/>
  <c r="E57" i="4"/>
  <c r="F57" i="4" s="1"/>
  <c r="W29" i="2"/>
  <c r="D57" i="4" s="1"/>
  <c r="E31" i="4"/>
  <c r="F31" i="4" s="1"/>
  <c r="W9" i="2"/>
  <c r="D5" i="4" s="1"/>
  <c r="E6" i="4" s="1"/>
  <c r="F6" i="4" s="1"/>
  <c r="E56" i="4"/>
  <c r="F56" i="4" s="1"/>
  <c r="E30" i="4"/>
  <c r="F30" i="4" s="1"/>
  <c r="E4" i="4"/>
  <c r="F4" i="4" s="1"/>
  <c r="E55" i="4"/>
  <c r="F55" i="4" s="1"/>
  <c r="D28" i="4"/>
  <c r="E29" i="4" s="1"/>
  <c r="F29" i="4" s="1"/>
  <c r="F19" i="2"/>
  <c r="F20" i="2" s="1"/>
  <c r="D2" i="4"/>
  <c r="E3" i="4" s="1"/>
  <c r="F3" i="4" s="1"/>
  <c r="F9" i="2"/>
  <c r="F10" i="2" s="1"/>
  <c r="E58" i="4" l="1"/>
  <c r="F58" i="4" s="1"/>
  <c r="G55" i="4" s="1"/>
  <c r="G29" i="4"/>
  <c r="E5" i="4"/>
  <c r="F5" i="4" s="1"/>
  <c r="G3" i="4" s="1"/>
</calcChain>
</file>

<file path=xl/sharedStrings.xml><?xml version="1.0" encoding="utf-8"?>
<sst xmlns="http://schemas.openxmlformats.org/spreadsheetml/2006/main" count="691" uniqueCount="39">
  <si>
    <t>Year</t>
  </si>
  <si>
    <t>Unit value</t>
  </si>
  <si>
    <t>By sq. m of roofed area</t>
  </si>
  <si>
    <t>Party</t>
  </si>
  <si>
    <t>Type</t>
  </si>
  <si>
    <t>Walls</t>
  </si>
  <si>
    <t>Roof</t>
  </si>
  <si>
    <t>C</t>
  </si>
  <si>
    <t>G</t>
  </si>
  <si>
    <t>Region</t>
  </si>
  <si>
    <t>Costa</t>
  </si>
  <si>
    <t>Floor</t>
  </si>
  <si>
    <t>E</t>
  </si>
  <si>
    <t>F</t>
  </si>
  <si>
    <t>Door and roof</t>
  </si>
  <si>
    <t>Source</t>
  </si>
  <si>
    <t>Toilet</t>
  </si>
  <si>
    <t>Electricals</t>
  </si>
  <si>
    <t>Coating</t>
  </si>
  <si>
    <t>RM 286-2015-VIVIENDA</t>
  </si>
  <si>
    <t>Cost</t>
  </si>
  <si>
    <t>Area</t>
  </si>
  <si>
    <t>Unit Cost</t>
  </si>
  <si>
    <t>Sierra</t>
  </si>
  <si>
    <t>Selva</t>
  </si>
  <si>
    <t>Door and window</t>
  </si>
  <si>
    <t>RM 415-2017-VIVIENDA</t>
  </si>
  <si>
    <t>RM 373-2016-VIVIENDA</t>
  </si>
  <si>
    <t>Door and WIndow</t>
  </si>
  <si>
    <t>RM  351-2019-VIVIENDA</t>
  </si>
  <si>
    <t>Door and Window</t>
  </si>
  <si>
    <t>RM  370-2018-VIVIENDA</t>
  </si>
  <si>
    <t>Projection</t>
  </si>
  <si>
    <t>Interannual dif</t>
  </si>
  <si>
    <t>Inflation</t>
  </si>
  <si>
    <t>Mean</t>
  </si>
  <si>
    <t>* add 0.3 of a room to consider passages and services</t>
  </si>
  <si>
    <t>AVERAGE FOR 2015</t>
  </si>
  <si>
    <t>INPUT FOR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</si>
</sst>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Projections!$A$2</c:f>
              <c:strCache>
                <c:ptCount val="1"/>
                <c:pt idx="0">
                  <c:v>Costa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Projections!$B$2:$B$27</c:f>
              <c:numCache>
                <c:formatCode>General</c:formatCode>
                <c:ptCount val="2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</c:numCache>
            </c:numRef>
          </c:cat>
          <c:val>
            <c:numRef>
              <c:f>Projections!$C$2:$C$27</c:f>
              <c:numCache>
                <c:formatCode>General</c:formatCode>
                <c:ptCount val="26"/>
                <c:pt idx="0">
                  <c:v>5345.4836250000008</c:v>
                </c:pt>
                <c:pt idx="1">
                  <c:v>5505.9547500000008</c:v>
                </c:pt>
                <c:pt idx="2">
                  <c:v>5670.9821249999995</c:v>
                </c:pt>
                <c:pt idx="3">
                  <c:v>5841.2036250000001</c:v>
                </c:pt>
                <c:pt idx="4">
                  <c:v>5963.8578750000006</c:v>
                </c:pt>
                <c:pt idx="5">
                  <c:v>6137.0956125000002</c:v>
                </c:pt>
                <c:pt idx="6">
                  <c:v>6294.2953500000003</c:v>
                </c:pt>
                <c:pt idx="7">
                  <c:v>6451.4950875000004</c:v>
                </c:pt>
                <c:pt idx="8">
                  <c:v>6608.6948249999996</c:v>
                </c:pt>
                <c:pt idx="9">
                  <c:v>6765.8945624999997</c:v>
                </c:pt>
                <c:pt idx="10">
                  <c:v>6923.0942999999997</c:v>
                </c:pt>
                <c:pt idx="11">
                  <c:v>7080.2940374999998</c:v>
                </c:pt>
                <c:pt idx="12">
                  <c:v>7237.4937749999999</c:v>
                </c:pt>
                <c:pt idx="13">
                  <c:v>7394.6935125</c:v>
                </c:pt>
                <c:pt idx="14">
                  <c:v>7551.8932500000001</c:v>
                </c:pt>
                <c:pt idx="15">
                  <c:v>7709.0929875000002</c:v>
                </c:pt>
                <c:pt idx="16">
                  <c:v>7866.2927250000002</c:v>
                </c:pt>
                <c:pt idx="17">
                  <c:v>8023.4924625000003</c:v>
                </c:pt>
                <c:pt idx="18">
                  <c:v>8180.6922000000004</c:v>
                </c:pt>
                <c:pt idx="19">
                  <c:v>8337.8919375000005</c:v>
                </c:pt>
                <c:pt idx="20">
                  <c:v>8495.0916749999997</c:v>
                </c:pt>
                <c:pt idx="21">
                  <c:v>8652.2914125000007</c:v>
                </c:pt>
                <c:pt idx="22">
                  <c:v>8809.4911499999998</c:v>
                </c:pt>
                <c:pt idx="23">
                  <c:v>8966.6908875000008</c:v>
                </c:pt>
                <c:pt idx="24">
                  <c:v>9123.890625</c:v>
                </c:pt>
                <c:pt idx="25">
                  <c:v>9281.0903624999992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5-4E97-B4F6-3B1010B78DAA}"/>
            </c:ext>
          </c:extLst>
        </c:ser>
        <c:ser>
          <c:idx val="1"/>
          <c:order val="1"/>
          <c:tx>
            <c:strRef>
              <c:f>Projections!$A$28</c:f>
              <c:strCache>
                <c:ptCount val="1"/>
                <c:pt idx="0">
                  <c:v>Sierra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Projections!$C$28:$C$53</c:f>
              <c:numCache>
                <c:formatCode>General</c:formatCode>
                <c:ptCount val="26"/>
                <c:pt idx="0">
                  <c:v>5271.5812500000011</c:v>
                </c:pt>
                <c:pt idx="1">
                  <c:v>5429.8653750000003</c:v>
                </c:pt>
                <c:pt idx="2">
                  <c:v>5592.7057500000001</c:v>
                </c:pt>
                <c:pt idx="3">
                  <c:v>5760.3757500000011</c:v>
                </c:pt>
                <c:pt idx="4">
                  <c:v>5881.4808750000002</c:v>
                </c:pt>
                <c:pt idx="5">
                  <c:v>6052.2946874999998</c:v>
                </c:pt>
                <c:pt idx="6">
                  <c:v>6207.3256499999998</c:v>
                </c:pt>
                <c:pt idx="7">
                  <c:v>6362.3566124999998</c:v>
                </c:pt>
                <c:pt idx="8">
                  <c:v>6517.3875749999997</c:v>
                </c:pt>
                <c:pt idx="9">
                  <c:v>6672.4185374999997</c:v>
                </c:pt>
                <c:pt idx="10">
                  <c:v>6827.4494999999997</c:v>
                </c:pt>
                <c:pt idx="11">
                  <c:v>6982.4804624999997</c:v>
                </c:pt>
                <c:pt idx="12">
                  <c:v>7137.5114249999997</c:v>
                </c:pt>
                <c:pt idx="13">
                  <c:v>7292.5423874999997</c:v>
                </c:pt>
                <c:pt idx="14">
                  <c:v>7447.5733499999997</c:v>
                </c:pt>
                <c:pt idx="15">
                  <c:v>7602.6043124999997</c:v>
                </c:pt>
                <c:pt idx="16">
                  <c:v>7757.6352749999996</c:v>
                </c:pt>
                <c:pt idx="17">
                  <c:v>7912.6662374999996</c:v>
                </c:pt>
                <c:pt idx="18">
                  <c:v>8067.6971999999996</c:v>
                </c:pt>
                <c:pt idx="19">
                  <c:v>8222.7281624999996</c:v>
                </c:pt>
                <c:pt idx="20">
                  <c:v>8377.7591250000005</c:v>
                </c:pt>
                <c:pt idx="21">
                  <c:v>8532.7900874999996</c:v>
                </c:pt>
                <c:pt idx="22">
                  <c:v>8687.8210500000005</c:v>
                </c:pt>
                <c:pt idx="23">
                  <c:v>8842.8520124999995</c:v>
                </c:pt>
                <c:pt idx="24">
                  <c:v>8997.8829750000004</c:v>
                </c:pt>
                <c:pt idx="25">
                  <c:v>9152.9139374999995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5-4E97-B4F6-3B1010B78DAA}"/>
            </c:ext>
          </c:extLst>
        </c:ser>
        <c:ser>
          <c:idx val="2"/>
          <c:order val="2"/>
          <c:tx>
            <c:strRef>
              <c:f>Projections!$A$54</c:f>
              <c:strCache>
                <c:ptCount val="1"/>
                <c:pt idx="0">
                  <c:v>Selva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Projections!$C$54:$C$79</c:f>
              <c:numCache>
                <c:formatCode>General</c:formatCode>
                <c:ptCount val="26"/>
                <c:pt idx="0">
                  <c:v>6148.7505000000001</c:v>
                </c:pt>
                <c:pt idx="1">
                  <c:v>6333.2786249999999</c:v>
                </c:pt>
                <c:pt idx="2">
                  <c:v>6620.1401249999999</c:v>
                </c:pt>
                <c:pt idx="3">
                  <c:v>6719.0107500000004</c:v>
                </c:pt>
                <c:pt idx="4">
                  <c:v>6860.1633750000001</c:v>
                </c:pt>
                <c:pt idx="5">
                  <c:v>7078.8360375000002</c:v>
                </c:pt>
                <c:pt idx="6">
                  <c:v>7259.6918249999999</c:v>
                </c:pt>
                <c:pt idx="7">
                  <c:v>7440.5476124999996</c:v>
                </c:pt>
                <c:pt idx="8">
                  <c:v>7621.4034000000001</c:v>
                </c:pt>
                <c:pt idx="9">
                  <c:v>7802.2591874999998</c:v>
                </c:pt>
                <c:pt idx="10">
                  <c:v>7983.1149750000004</c:v>
                </c:pt>
                <c:pt idx="11">
                  <c:v>8163.9707625000001</c:v>
                </c:pt>
                <c:pt idx="12">
                  <c:v>8344.8265499999998</c:v>
                </c:pt>
                <c:pt idx="13">
                  <c:v>8525.6823375000004</c:v>
                </c:pt>
                <c:pt idx="14">
                  <c:v>8706.5381249999991</c:v>
                </c:pt>
                <c:pt idx="15">
                  <c:v>8887.3939124999997</c:v>
                </c:pt>
                <c:pt idx="16">
                  <c:v>9068.2497000000003</c:v>
                </c:pt>
                <c:pt idx="17">
                  <c:v>9249.1054875000009</c:v>
                </c:pt>
                <c:pt idx="18">
                  <c:v>9429.9612749999997</c:v>
                </c:pt>
                <c:pt idx="19">
                  <c:v>9610.8170625000002</c:v>
                </c:pt>
                <c:pt idx="20">
                  <c:v>9791.6728500000008</c:v>
                </c:pt>
                <c:pt idx="21">
                  <c:v>9972.5286374999996</c:v>
                </c:pt>
                <c:pt idx="22">
                  <c:v>10153.384425</c:v>
                </c:pt>
                <c:pt idx="23">
                  <c:v>10334.240212500001</c:v>
                </c:pt>
                <c:pt idx="24">
                  <c:v>10515.096</c:v>
                </c:pt>
                <c:pt idx="25">
                  <c:v>10695.9517875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E5-4E97-B4F6-3B1010B78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823856"/>
        <c:axId val="504535024"/>
      </c:lineChart>
      <c:catAx>
        <c:axId val="43282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35024"/>
        <c:crosses val="autoZero"/>
        <c:auto val="1"/>
        <c:lblAlgn val="ctr"/>
        <c:lblOffset val="100"/>
        <c:noMultiLvlLbl val="0"/>
      </c:catAx>
      <c:valAx>
        <c:axId val="504535024"/>
        <c:scaling>
          <c:orientation val="minMax"/>
          <c:max val="12000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2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16</xdr:col>
      <xdr:colOff>388620</xdr:colOff>
      <xdr:row>21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57ABBD-DD29-00F9-B907-0E66F399E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5389-A031-41C2-AD79-2E5A0596733C}">
  <dimension ref="A1:F107"/>
  <sheetViews>
    <sheetView workbookViewId="0">
      <selection activeCell="B3" sqref="B3"/>
    </sheetView>
  </sheetViews>
  <sheetFormatPr defaultColWidth="9.140625" defaultRowHeight="15" x14ac:dyDescent="0.25"/>
  <sheetData>
    <row r="1" spans="1:6" x14ac:dyDescent="0.25">
      <c r="A1" t="s">
        <v>2</v>
      </c>
    </row>
    <row r="2" spans="1:6" x14ac:dyDescent="0.25">
      <c r="A2" t="s">
        <v>0</v>
      </c>
      <c r="B2" t="s">
        <v>15</v>
      </c>
      <c r="C2" t="s">
        <v>3</v>
      </c>
      <c r="D2" t="s">
        <v>4</v>
      </c>
      <c r="E2" t="s">
        <v>9</v>
      </c>
      <c r="F2" t="s">
        <v>1</v>
      </c>
    </row>
    <row r="3" spans="1:6" x14ac:dyDescent="0.25">
      <c r="A3">
        <v>2015</v>
      </c>
      <c r="B3" t="s">
        <v>19</v>
      </c>
      <c r="C3" t="s">
        <v>5</v>
      </c>
      <c r="D3" t="s">
        <v>7</v>
      </c>
      <c r="E3" t="s">
        <v>10</v>
      </c>
      <c r="F3">
        <v>200.99</v>
      </c>
    </row>
    <row r="4" spans="1:6" x14ac:dyDescent="0.25">
      <c r="A4">
        <v>2015</v>
      </c>
      <c r="B4" t="s">
        <v>19</v>
      </c>
      <c r="C4" t="s">
        <v>6</v>
      </c>
      <c r="D4" t="s">
        <v>7</v>
      </c>
      <c r="E4" t="s">
        <v>10</v>
      </c>
      <c r="F4">
        <v>148.26</v>
      </c>
    </row>
    <row r="5" spans="1:6" x14ac:dyDescent="0.25">
      <c r="A5">
        <v>2015</v>
      </c>
      <c r="B5" t="s">
        <v>19</v>
      </c>
      <c r="C5" t="s">
        <v>11</v>
      </c>
      <c r="D5" t="s">
        <v>8</v>
      </c>
      <c r="E5" t="s">
        <v>10</v>
      </c>
      <c r="F5">
        <v>34.130000000000003</v>
      </c>
    </row>
    <row r="6" spans="1:6" x14ac:dyDescent="0.25">
      <c r="A6">
        <v>2015</v>
      </c>
      <c r="B6" t="s">
        <v>19</v>
      </c>
      <c r="C6" t="s">
        <v>14</v>
      </c>
      <c r="D6" t="s">
        <v>13</v>
      </c>
      <c r="E6" t="s">
        <v>10</v>
      </c>
      <c r="F6">
        <v>47.11</v>
      </c>
    </row>
    <row r="7" spans="1:6" x14ac:dyDescent="0.25">
      <c r="A7">
        <v>2015</v>
      </c>
      <c r="B7" t="s">
        <v>19</v>
      </c>
      <c r="C7" t="s">
        <v>18</v>
      </c>
      <c r="D7" t="s">
        <v>13</v>
      </c>
      <c r="E7" t="s">
        <v>10</v>
      </c>
      <c r="F7">
        <v>55.41</v>
      </c>
    </row>
    <row r="8" spans="1:6" x14ac:dyDescent="0.25">
      <c r="A8">
        <v>2015</v>
      </c>
      <c r="B8" t="s">
        <v>19</v>
      </c>
      <c r="C8" t="s">
        <v>16</v>
      </c>
      <c r="D8" t="s">
        <v>7</v>
      </c>
      <c r="E8" t="s">
        <v>10</v>
      </c>
      <c r="F8">
        <v>47.15</v>
      </c>
    </row>
    <row r="9" spans="1:6" x14ac:dyDescent="0.25">
      <c r="A9">
        <v>2015</v>
      </c>
      <c r="B9" t="s">
        <v>19</v>
      </c>
      <c r="C9" t="s">
        <v>17</v>
      </c>
      <c r="D9" t="s">
        <v>12</v>
      </c>
      <c r="E9" t="s">
        <v>10</v>
      </c>
      <c r="F9">
        <v>53.56</v>
      </c>
    </row>
    <row r="10" spans="1:6" x14ac:dyDescent="0.25">
      <c r="A10">
        <v>2015</v>
      </c>
      <c r="B10" t="s">
        <v>19</v>
      </c>
      <c r="C10" t="s">
        <v>5</v>
      </c>
      <c r="D10" t="s">
        <v>7</v>
      </c>
      <c r="E10" t="s">
        <v>23</v>
      </c>
      <c r="F10">
        <v>217.76</v>
      </c>
    </row>
    <row r="11" spans="1:6" x14ac:dyDescent="0.25">
      <c r="A11">
        <v>2015</v>
      </c>
      <c r="B11" t="s">
        <v>19</v>
      </c>
      <c r="C11" t="s">
        <v>6</v>
      </c>
      <c r="D11" t="s">
        <v>7</v>
      </c>
      <c r="E11" t="s">
        <v>23</v>
      </c>
      <c r="F11">
        <v>126.2</v>
      </c>
    </row>
    <row r="12" spans="1:6" x14ac:dyDescent="0.25">
      <c r="A12">
        <v>2015</v>
      </c>
      <c r="B12" t="s">
        <v>19</v>
      </c>
      <c r="C12" t="s">
        <v>11</v>
      </c>
      <c r="D12" t="s">
        <v>8</v>
      </c>
      <c r="E12" t="s">
        <v>23</v>
      </c>
      <c r="F12">
        <v>41.6</v>
      </c>
    </row>
    <row r="13" spans="1:6" x14ac:dyDescent="0.25">
      <c r="A13">
        <v>2015</v>
      </c>
      <c r="B13" t="s">
        <v>19</v>
      </c>
      <c r="C13" t="s">
        <v>25</v>
      </c>
      <c r="D13" t="s">
        <v>13</v>
      </c>
      <c r="E13" t="s">
        <v>23</v>
      </c>
      <c r="F13">
        <v>44.54</v>
      </c>
    </row>
    <row r="14" spans="1:6" x14ac:dyDescent="0.25">
      <c r="A14">
        <v>2015</v>
      </c>
      <c r="B14" t="s">
        <v>19</v>
      </c>
      <c r="C14" t="s">
        <v>18</v>
      </c>
      <c r="D14" t="s">
        <v>13</v>
      </c>
      <c r="E14" t="s">
        <v>23</v>
      </c>
      <c r="F14">
        <v>63.02</v>
      </c>
    </row>
    <row r="15" spans="1:6" x14ac:dyDescent="0.25">
      <c r="A15">
        <v>2015</v>
      </c>
      <c r="B15" t="s">
        <v>19</v>
      </c>
      <c r="C15" t="s">
        <v>16</v>
      </c>
      <c r="D15" t="s">
        <v>7</v>
      </c>
      <c r="E15" t="s">
        <v>23</v>
      </c>
      <c r="F15">
        <v>41.56</v>
      </c>
    </row>
    <row r="16" spans="1:6" x14ac:dyDescent="0.25">
      <c r="A16">
        <v>2015</v>
      </c>
      <c r="B16" t="s">
        <v>19</v>
      </c>
      <c r="C16" t="s">
        <v>17</v>
      </c>
      <c r="D16" t="s">
        <v>12</v>
      </c>
      <c r="E16" t="s">
        <v>23</v>
      </c>
      <c r="F16">
        <v>43.82</v>
      </c>
    </row>
    <row r="17" spans="1:6" x14ac:dyDescent="0.25">
      <c r="A17">
        <v>2015</v>
      </c>
      <c r="B17" t="s">
        <v>19</v>
      </c>
      <c r="C17" t="s">
        <v>5</v>
      </c>
      <c r="D17" t="s">
        <v>7</v>
      </c>
      <c r="E17" t="s">
        <v>24</v>
      </c>
      <c r="F17">
        <v>266.31</v>
      </c>
    </row>
    <row r="18" spans="1:6" x14ac:dyDescent="0.25">
      <c r="A18">
        <v>2015</v>
      </c>
      <c r="B18" t="s">
        <v>19</v>
      </c>
      <c r="C18" t="s">
        <v>6</v>
      </c>
      <c r="D18" t="s">
        <v>7</v>
      </c>
      <c r="E18" t="s">
        <v>24</v>
      </c>
      <c r="F18">
        <v>144.22999999999999</v>
      </c>
    </row>
    <row r="19" spans="1:6" x14ac:dyDescent="0.25">
      <c r="A19">
        <v>2015</v>
      </c>
      <c r="B19" t="s">
        <v>19</v>
      </c>
      <c r="C19" t="s">
        <v>11</v>
      </c>
      <c r="D19" t="s">
        <v>8</v>
      </c>
      <c r="E19" t="s">
        <v>24</v>
      </c>
      <c r="F19">
        <v>47.77</v>
      </c>
    </row>
    <row r="20" spans="1:6" x14ac:dyDescent="0.25">
      <c r="A20">
        <v>2015</v>
      </c>
      <c r="B20" t="s">
        <v>19</v>
      </c>
      <c r="C20" t="s">
        <v>25</v>
      </c>
      <c r="D20" t="s">
        <v>13</v>
      </c>
      <c r="E20" t="s">
        <v>24</v>
      </c>
      <c r="F20">
        <v>48.02</v>
      </c>
    </row>
    <row r="21" spans="1:6" x14ac:dyDescent="0.25">
      <c r="A21">
        <v>2015</v>
      </c>
      <c r="B21" t="s">
        <v>19</v>
      </c>
      <c r="C21" t="s">
        <v>18</v>
      </c>
      <c r="D21" t="s">
        <v>13</v>
      </c>
      <c r="E21" t="s">
        <v>24</v>
      </c>
      <c r="F21">
        <v>66.11</v>
      </c>
    </row>
    <row r="22" spans="1:6" x14ac:dyDescent="0.25">
      <c r="A22">
        <v>2015</v>
      </c>
      <c r="B22" t="s">
        <v>19</v>
      </c>
      <c r="C22" t="s">
        <v>16</v>
      </c>
      <c r="D22" t="s">
        <v>7</v>
      </c>
      <c r="E22" t="s">
        <v>24</v>
      </c>
      <c r="F22">
        <v>48.56</v>
      </c>
    </row>
    <row r="23" spans="1:6" x14ac:dyDescent="0.25">
      <c r="A23">
        <v>2015</v>
      </c>
      <c r="B23" t="s">
        <v>19</v>
      </c>
      <c r="C23" t="s">
        <v>17</v>
      </c>
      <c r="D23" t="s">
        <v>12</v>
      </c>
      <c r="E23" t="s">
        <v>24</v>
      </c>
      <c r="F23">
        <v>53.76</v>
      </c>
    </row>
    <row r="24" spans="1:6" x14ac:dyDescent="0.25">
      <c r="A24">
        <v>2016</v>
      </c>
      <c r="B24" t="s">
        <v>27</v>
      </c>
      <c r="C24" t="s">
        <v>5</v>
      </c>
      <c r="D24" t="s">
        <v>7</v>
      </c>
      <c r="E24" t="s">
        <v>10</v>
      </c>
      <c r="F24">
        <v>207.02</v>
      </c>
    </row>
    <row r="25" spans="1:6" x14ac:dyDescent="0.25">
      <c r="A25">
        <v>2016</v>
      </c>
      <c r="B25" t="s">
        <v>27</v>
      </c>
      <c r="C25" t="s">
        <v>6</v>
      </c>
      <c r="D25" t="s">
        <v>7</v>
      </c>
      <c r="E25" t="s">
        <v>10</v>
      </c>
      <c r="F25">
        <v>152.71</v>
      </c>
    </row>
    <row r="26" spans="1:6" x14ac:dyDescent="0.25">
      <c r="A26">
        <v>2016</v>
      </c>
      <c r="B26" t="s">
        <v>27</v>
      </c>
      <c r="C26" t="s">
        <v>11</v>
      </c>
      <c r="D26" t="s">
        <v>8</v>
      </c>
      <c r="E26" t="s">
        <v>10</v>
      </c>
      <c r="F26">
        <v>35.159999999999997</v>
      </c>
    </row>
    <row r="27" spans="1:6" x14ac:dyDescent="0.25">
      <c r="A27">
        <v>2016</v>
      </c>
      <c r="B27" t="s">
        <v>27</v>
      </c>
      <c r="C27" t="s">
        <v>25</v>
      </c>
      <c r="D27" t="s">
        <v>13</v>
      </c>
      <c r="E27" t="s">
        <v>10</v>
      </c>
      <c r="F27">
        <v>48.53</v>
      </c>
    </row>
    <row r="28" spans="1:6" x14ac:dyDescent="0.25">
      <c r="A28">
        <v>2016</v>
      </c>
      <c r="B28" t="s">
        <v>27</v>
      </c>
      <c r="C28" t="s">
        <v>18</v>
      </c>
      <c r="D28" t="s">
        <v>13</v>
      </c>
      <c r="E28" t="s">
        <v>10</v>
      </c>
      <c r="F28">
        <v>57.07</v>
      </c>
    </row>
    <row r="29" spans="1:6" x14ac:dyDescent="0.25">
      <c r="A29">
        <v>2016</v>
      </c>
      <c r="B29" t="s">
        <v>27</v>
      </c>
      <c r="C29" t="s">
        <v>16</v>
      </c>
      <c r="D29" t="s">
        <v>7</v>
      </c>
      <c r="E29" t="s">
        <v>10</v>
      </c>
      <c r="F29">
        <v>48.56</v>
      </c>
    </row>
    <row r="30" spans="1:6" x14ac:dyDescent="0.25">
      <c r="A30">
        <v>2016</v>
      </c>
      <c r="B30" t="s">
        <v>27</v>
      </c>
      <c r="C30" t="s">
        <v>17</v>
      </c>
      <c r="D30" t="s">
        <v>12</v>
      </c>
      <c r="E30" t="s">
        <v>10</v>
      </c>
      <c r="F30">
        <v>55.17</v>
      </c>
    </row>
    <row r="31" spans="1:6" x14ac:dyDescent="0.25">
      <c r="A31">
        <v>2016</v>
      </c>
      <c r="B31" t="s">
        <v>27</v>
      </c>
      <c r="C31" t="s">
        <v>5</v>
      </c>
      <c r="D31" t="s">
        <v>7</v>
      </c>
      <c r="E31" t="s">
        <v>23</v>
      </c>
      <c r="F31">
        <v>224.29</v>
      </c>
    </row>
    <row r="32" spans="1:6" x14ac:dyDescent="0.25">
      <c r="A32">
        <v>2016</v>
      </c>
      <c r="B32" t="s">
        <v>27</v>
      </c>
      <c r="C32" t="s">
        <v>6</v>
      </c>
      <c r="D32" t="s">
        <v>7</v>
      </c>
      <c r="E32" t="s">
        <v>23</v>
      </c>
      <c r="F32">
        <v>129.99</v>
      </c>
    </row>
    <row r="33" spans="1:6" x14ac:dyDescent="0.25">
      <c r="A33">
        <v>2016</v>
      </c>
      <c r="B33" t="s">
        <v>27</v>
      </c>
      <c r="C33" t="s">
        <v>11</v>
      </c>
      <c r="D33" t="s">
        <v>8</v>
      </c>
      <c r="E33" t="s">
        <v>23</v>
      </c>
      <c r="F33">
        <v>42.85</v>
      </c>
    </row>
    <row r="34" spans="1:6" x14ac:dyDescent="0.25">
      <c r="A34">
        <v>2016</v>
      </c>
      <c r="B34" t="s">
        <v>27</v>
      </c>
      <c r="C34" t="s">
        <v>28</v>
      </c>
      <c r="D34" t="s">
        <v>13</v>
      </c>
      <c r="E34" t="s">
        <v>23</v>
      </c>
      <c r="F34">
        <v>45.88</v>
      </c>
    </row>
    <row r="35" spans="1:6" x14ac:dyDescent="0.25">
      <c r="A35">
        <v>2016</v>
      </c>
      <c r="B35" t="s">
        <v>27</v>
      </c>
      <c r="C35" t="s">
        <v>18</v>
      </c>
      <c r="D35" t="s">
        <v>13</v>
      </c>
      <c r="E35" t="s">
        <v>23</v>
      </c>
      <c r="F35">
        <v>64.91</v>
      </c>
    </row>
    <row r="36" spans="1:6" x14ac:dyDescent="0.25">
      <c r="A36">
        <v>2016</v>
      </c>
      <c r="B36" t="s">
        <v>27</v>
      </c>
      <c r="C36" t="s">
        <v>16</v>
      </c>
      <c r="D36" t="s">
        <v>7</v>
      </c>
      <c r="E36" t="s">
        <v>23</v>
      </c>
      <c r="F36">
        <v>42.81</v>
      </c>
    </row>
    <row r="37" spans="1:6" x14ac:dyDescent="0.25">
      <c r="A37">
        <v>2016</v>
      </c>
      <c r="B37" t="s">
        <v>27</v>
      </c>
      <c r="C37" t="s">
        <v>17</v>
      </c>
      <c r="D37" t="s">
        <v>12</v>
      </c>
      <c r="E37" t="s">
        <v>23</v>
      </c>
      <c r="F37">
        <v>45.14</v>
      </c>
    </row>
    <row r="38" spans="1:6" x14ac:dyDescent="0.25">
      <c r="A38">
        <v>2016</v>
      </c>
      <c r="B38" t="s">
        <v>27</v>
      </c>
      <c r="C38" t="s">
        <v>5</v>
      </c>
      <c r="D38" t="s">
        <v>7</v>
      </c>
      <c r="E38" t="s">
        <v>24</v>
      </c>
      <c r="F38">
        <v>274.3</v>
      </c>
    </row>
    <row r="39" spans="1:6" x14ac:dyDescent="0.25">
      <c r="A39">
        <v>2016</v>
      </c>
      <c r="B39" t="s">
        <v>27</v>
      </c>
      <c r="C39" t="s">
        <v>6</v>
      </c>
      <c r="D39" t="s">
        <v>7</v>
      </c>
      <c r="E39" t="s">
        <v>24</v>
      </c>
      <c r="F39">
        <v>148.56</v>
      </c>
    </row>
    <row r="40" spans="1:6" x14ac:dyDescent="0.25">
      <c r="A40">
        <v>2016</v>
      </c>
      <c r="B40" t="s">
        <v>27</v>
      </c>
      <c r="C40" t="s">
        <v>11</v>
      </c>
      <c r="D40" t="s">
        <v>8</v>
      </c>
      <c r="E40" t="s">
        <v>24</v>
      </c>
      <c r="F40">
        <v>49.21</v>
      </c>
    </row>
    <row r="41" spans="1:6" x14ac:dyDescent="0.25">
      <c r="A41">
        <v>2016</v>
      </c>
      <c r="B41" t="s">
        <v>27</v>
      </c>
      <c r="C41" t="s">
        <v>14</v>
      </c>
      <c r="D41" t="s">
        <v>13</v>
      </c>
      <c r="E41" t="s">
        <v>24</v>
      </c>
      <c r="F41">
        <v>49.46</v>
      </c>
    </row>
    <row r="42" spans="1:6" x14ac:dyDescent="0.25">
      <c r="A42">
        <v>2016</v>
      </c>
      <c r="B42" t="s">
        <v>27</v>
      </c>
      <c r="C42" t="s">
        <v>18</v>
      </c>
      <c r="D42" t="s">
        <v>13</v>
      </c>
      <c r="E42" t="s">
        <v>24</v>
      </c>
      <c r="F42">
        <v>68.09</v>
      </c>
    </row>
    <row r="43" spans="1:6" x14ac:dyDescent="0.25">
      <c r="A43">
        <v>2016</v>
      </c>
      <c r="B43" t="s">
        <v>27</v>
      </c>
      <c r="C43" t="s">
        <v>16</v>
      </c>
      <c r="D43" t="s">
        <v>7</v>
      </c>
      <c r="E43" t="s">
        <v>24</v>
      </c>
      <c r="F43">
        <v>50.02</v>
      </c>
    </row>
    <row r="44" spans="1:6" x14ac:dyDescent="0.25">
      <c r="A44">
        <v>2016</v>
      </c>
      <c r="B44" t="s">
        <v>27</v>
      </c>
      <c r="C44" t="s">
        <v>17</v>
      </c>
      <c r="D44" t="s">
        <v>12</v>
      </c>
      <c r="E44" t="s">
        <v>24</v>
      </c>
      <c r="F44">
        <v>55.37</v>
      </c>
    </row>
    <row r="45" spans="1:6" x14ac:dyDescent="0.25">
      <c r="A45">
        <v>2017</v>
      </c>
      <c r="B45" t="s">
        <v>26</v>
      </c>
      <c r="C45" t="s">
        <v>5</v>
      </c>
      <c r="D45" t="s">
        <v>7</v>
      </c>
      <c r="E45" t="s">
        <v>10</v>
      </c>
      <c r="F45">
        <v>213.23</v>
      </c>
    </row>
    <row r="46" spans="1:6" x14ac:dyDescent="0.25">
      <c r="A46">
        <v>2017</v>
      </c>
      <c r="B46" t="s">
        <v>26</v>
      </c>
      <c r="C46" t="s">
        <v>6</v>
      </c>
      <c r="D46" t="s">
        <v>7</v>
      </c>
      <c r="E46" t="s">
        <v>10</v>
      </c>
      <c r="F46">
        <v>157.29</v>
      </c>
    </row>
    <row r="47" spans="1:6" x14ac:dyDescent="0.25">
      <c r="A47">
        <v>2017</v>
      </c>
      <c r="B47" t="s">
        <v>26</v>
      </c>
      <c r="C47" t="s">
        <v>11</v>
      </c>
      <c r="D47" t="s">
        <v>8</v>
      </c>
      <c r="E47" t="s">
        <v>10</v>
      </c>
      <c r="F47">
        <v>36.21</v>
      </c>
    </row>
    <row r="48" spans="1:6" x14ac:dyDescent="0.25">
      <c r="A48">
        <v>2017</v>
      </c>
      <c r="B48" t="s">
        <v>26</v>
      </c>
      <c r="C48" t="s">
        <v>25</v>
      </c>
      <c r="D48" t="s">
        <v>13</v>
      </c>
      <c r="E48" t="s">
        <v>10</v>
      </c>
      <c r="F48">
        <v>49.98</v>
      </c>
    </row>
    <row r="49" spans="1:6" x14ac:dyDescent="0.25">
      <c r="A49">
        <v>2017</v>
      </c>
      <c r="B49" t="s">
        <v>26</v>
      </c>
      <c r="C49" t="s">
        <v>18</v>
      </c>
      <c r="D49" t="s">
        <v>13</v>
      </c>
      <c r="E49" t="s">
        <v>10</v>
      </c>
      <c r="F49">
        <v>58.78</v>
      </c>
    </row>
    <row r="50" spans="1:6" x14ac:dyDescent="0.25">
      <c r="A50">
        <v>2017</v>
      </c>
      <c r="B50" t="s">
        <v>26</v>
      </c>
      <c r="C50" t="s">
        <v>16</v>
      </c>
      <c r="D50" t="s">
        <v>7</v>
      </c>
      <c r="E50" t="s">
        <v>10</v>
      </c>
      <c r="F50">
        <v>50.02</v>
      </c>
    </row>
    <row r="51" spans="1:6" x14ac:dyDescent="0.25">
      <c r="A51">
        <v>2017</v>
      </c>
      <c r="B51" t="s">
        <v>26</v>
      </c>
      <c r="C51" t="s">
        <v>17</v>
      </c>
      <c r="D51" t="s">
        <v>12</v>
      </c>
      <c r="E51" t="s">
        <v>10</v>
      </c>
      <c r="F51">
        <v>56.82</v>
      </c>
    </row>
    <row r="52" spans="1:6" x14ac:dyDescent="0.25">
      <c r="A52">
        <v>2017</v>
      </c>
      <c r="B52" t="s">
        <v>26</v>
      </c>
      <c r="C52" t="s">
        <v>5</v>
      </c>
      <c r="D52" t="s">
        <v>7</v>
      </c>
      <c r="E52" t="s">
        <v>23</v>
      </c>
      <c r="F52">
        <v>231.02</v>
      </c>
    </row>
    <row r="53" spans="1:6" x14ac:dyDescent="0.25">
      <c r="A53">
        <v>2017</v>
      </c>
      <c r="B53" t="s">
        <v>26</v>
      </c>
      <c r="C53" t="s">
        <v>6</v>
      </c>
      <c r="D53" t="s">
        <v>7</v>
      </c>
      <c r="E53" t="s">
        <v>23</v>
      </c>
      <c r="F53">
        <v>133.88999999999999</v>
      </c>
    </row>
    <row r="54" spans="1:6" x14ac:dyDescent="0.25">
      <c r="A54">
        <v>2017</v>
      </c>
      <c r="B54" t="s">
        <v>26</v>
      </c>
      <c r="C54" t="s">
        <v>11</v>
      </c>
      <c r="D54" t="s">
        <v>8</v>
      </c>
      <c r="E54" t="s">
        <v>23</v>
      </c>
      <c r="F54">
        <v>44.14</v>
      </c>
    </row>
    <row r="55" spans="1:6" x14ac:dyDescent="0.25">
      <c r="A55">
        <v>2017</v>
      </c>
      <c r="B55" t="s">
        <v>26</v>
      </c>
      <c r="C55" t="s">
        <v>25</v>
      </c>
      <c r="D55" t="s">
        <v>13</v>
      </c>
      <c r="E55" t="s">
        <v>23</v>
      </c>
      <c r="F55">
        <v>47.25</v>
      </c>
    </row>
    <row r="56" spans="1:6" x14ac:dyDescent="0.25">
      <c r="A56">
        <v>2017</v>
      </c>
      <c r="B56" t="s">
        <v>26</v>
      </c>
      <c r="C56" t="s">
        <v>18</v>
      </c>
      <c r="D56" t="s">
        <v>13</v>
      </c>
      <c r="E56" t="s">
        <v>23</v>
      </c>
      <c r="F56">
        <v>66.86</v>
      </c>
    </row>
    <row r="57" spans="1:6" x14ac:dyDescent="0.25">
      <c r="A57">
        <v>2017</v>
      </c>
      <c r="B57" t="s">
        <v>26</v>
      </c>
      <c r="C57" t="s">
        <v>16</v>
      </c>
      <c r="D57" t="s">
        <v>7</v>
      </c>
      <c r="E57" t="s">
        <v>23</v>
      </c>
      <c r="F57">
        <v>44.09</v>
      </c>
    </row>
    <row r="58" spans="1:6" x14ac:dyDescent="0.25">
      <c r="A58">
        <v>2017</v>
      </c>
      <c r="B58" t="s">
        <v>26</v>
      </c>
      <c r="C58" t="s">
        <v>17</v>
      </c>
      <c r="D58" t="s">
        <v>12</v>
      </c>
      <c r="E58" t="s">
        <v>23</v>
      </c>
      <c r="F58">
        <v>46.49</v>
      </c>
    </row>
    <row r="59" spans="1:6" x14ac:dyDescent="0.25">
      <c r="A59">
        <v>2017</v>
      </c>
      <c r="B59" t="s">
        <v>26</v>
      </c>
      <c r="C59" t="s">
        <v>5</v>
      </c>
      <c r="D59" t="s">
        <v>7</v>
      </c>
      <c r="E59" t="s">
        <v>24</v>
      </c>
      <c r="F59">
        <v>282.52999999999997</v>
      </c>
    </row>
    <row r="60" spans="1:6" x14ac:dyDescent="0.25">
      <c r="A60">
        <v>2017</v>
      </c>
      <c r="B60" t="s">
        <v>26</v>
      </c>
      <c r="C60" t="s">
        <v>6</v>
      </c>
      <c r="D60" t="s">
        <v>7</v>
      </c>
      <c r="E60" t="s">
        <v>24</v>
      </c>
      <c r="F60">
        <v>153.02000000000001</v>
      </c>
    </row>
    <row r="61" spans="1:6" x14ac:dyDescent="0.25">
      <c r="A61">
        <v>2017</v>
      </c>
      <c r="B61" t="s">
        <v>26</v>
      </c>
      <c r="C61" t="s">
        <v>11</v>
      </c>
      <c r="D61" t="s">
        <v>8</v>
      </c>
      <c r="E61" t="s">
        <v>24</v>
      </c>
      <c r="F61">
        <v>61.3</v>
      </c>
    </row>
    <row r="62" spans="1:6" x14ac:dyDescent="0.25">
      <c r="A62">
        <v>2017</v>
      </c>
      <c r="B62" t="s">
        <v>26</v>
      </c>
      <c r="C62" t="s">
        <v>14</v>
      </c>
      <c r="D62" t="s">
        <v>13</v>
      </c>
      <c r="E62" t="s">
        <v>24</v>
      </c>
      <c r="F62">
        <v>50.95</v>
      </c>
    </row>
    <row r="63" spans="1:6" x14ac:dyDescent="0.25">
      <c r="A63">
        <v>2017</v>
      </c>
      <c r="B63" t="s">
        <v>26</v>
      </c>
      <c r="C63" t="s">
        <v>18</v>
      </c>
      <c r="D63" t="s">
        <v>13</v>
      </c>
      <c r="E63" t="s">
        <v>24</v>
      </c>
      <c r="F63">
        <v>70.14</v>
      </c>
    </row>
    <row r="64" spans="1:6" x14ac:dyDescent="0.25">
      <c r="A64">
        <v>2017</v>
      </c>
      <c r="B64" t="s">
        <v>26</v>
      </c>
      <c r="C64" t="s">
        <v>16</v>
      </c>
      <c r="D64" t="s">
        <v>7</v>
      </c>
      <c r="E64" t="s">
        <v>24</v>
      </c>
      <c r="F64">
        <v>51.52</v>
      </c>
    </row>
    <row r="65" spans="1:6" x14ac:dyDescent="0.25">
      <c r="A65">
        <v>2017</v>
      </c>
      <c r="B65" t="s">
        <v>26</v>
      </c>
      <c r="C65" t="s">
        <v>17</v>
      </c>
      <c r="D65" t="s">
        <v>12</v>
      </c>
      <c r="E65" t="s">
        <v>24</v>
      </c>
      <c r="F65">
        <v>57.03</v>
      </c>
    </row>
    <row r="66" spans="1:6" x14ac:dyDescent="0.25">
      <c r="A66">
        <v>2018</v>
      </c>
      <c r="B66" t="s">
        <v>31</v>
      </c>
      <c r="C66" t="s">
        <v>5</v>
      </c>
      <c r="D66" t="s">
        <v>7</v>
      </c>
      <c r="E66" t="s">
        <v>10</v>
      </c>
      <c r="F66">
        <v>219.63</v>
      </c>
    </row>
    <row r="67" spans="1:6" x14ac:dyDescent="0.25">
      <c r="A67">
        <v>2018</v>
      </c>
      <c r="B67" t="s">
        <v>31</v>
      </c>
      <c r="C67" t="s">
        <v>6</v>
      </c>
      <c r="D67" t="s">
        <v>7</v>
      </c>
      <c r="E67" t="s">
        <v>10</v>
      </c>
      <c r="F67">
        <v>162.01</v>
      </c>
    </row>
    <row r="68" spans="1:6" x14ac:dyDescent="0.25">
      <c r="A68">
        <v>2018</v>
      </c>
      <c r="B68" t="s">
        <v>31</v>
      </c>
      <c r="C68" t="s">
        <v>11</v>
      </c>
      <c r="D68" t="s">
        <v>8</v>
      </c>
      <c r="E68" t="s">
        <v>10</v>
      </c>
      <c r="F68">
        <v>37.299999999999997</v>
      </c>
    </row>
    <row r="69" spans="1:6" x14ac:dyDescent="0.25">
      <c r="A69">
        <v>2018</v>
      </c>
      <c r="B69" t="s">
        <v>31</v>
      </c>
      <c r="C69" t="s">
        <v>30</v>
      </c>
      <c r="D69" t="s">
        <v>13</v>
      </c>
      <c r="E69" t="s">
        <v>10</v>
      </c>
      <c r="F69">
        <v>51.48</v>
      </c>
    </row>
    <row r="70" spans="1:6" x14ac:dyDescent="0.25">
      <c r="A70">
        <v>2018</v>
      </c>
      <c r="B70" t="s">
        <v>31</v>
      </c>
      <c r="C70" t="s">
        <v>18</v>
      </c>
      <c r="D70" t="s">
        <v>13</v>
      </c>
      <c r="E70" t="s">
        <v>10</v>
      </c>
      <c r="F70">
        <v>60.54</v>
      </c>
    </row>
    <row r="71" spans="1:6" x14ac:dyDescent="0.25">
      <c r="A71">
        <v>2018</v>
      </c>
      <c r="B71" t="s">
        <v>31</v>
      </c>
      <c r="C71" t="s">
        <v>16</v>
      </c>
      <c r="D71" t="s">
        <v>7</v>
      </c>
      <c r="E71" t="s">
        <v>10</v>
      </c>
      <c r="F71">
        <v>51.52</v>
      </c>
    </row>
    <row r="72" spans="1:6" x14ac:dyDescent="0.25">
      <c r="A72">
        <v>2018</v>
      </c>
      <c r="B72" t="s">
        <v>31</v>
      </c>
      <c r="C72" t="s">
        <v>17</v>
      </c>
      <c r="D72" t="s">
        <v>12</v>
      </c>
      <c r="E72" t="s">
        <v>10</v>
      </c>
      <c r="F72">
        <v>58.53</v>
      </c>
    </row>
    <row r="73" spans="1:6" x14ac:dyDescent="0.25">
      <c r="A73">
        <v>2018</v>
      </c>
      <c r="B73" t="s">
        <v>31</v>
      </c>
      <c r="C73" t="s">
        <v>5</v>
      </c>
      <c r="D73" t="s">
        <v>7</v>
      </c>
      <c r="E73" t="s">
        <v>23</v>
      </c>
      <c r="F73">
        <v>237.95</v>
      </c>
    </row>
    <row r="74" spans="1:6" x14ac:dyDescent="0.25">
      <c r="A74">
        <v>2018</v>
      </c>
      <c r="B74" t="s">
        <v>31</v>
      </c>
      <c r="C74" t="s">
        <v>6</v>
      </c>
      <c r="D74" t="s">
        <v>7</v>
      </c>
      <c r="E74" t="s">
        <v>23</v>
      </c>
      <c r="F74">
        <v>137.9</v>
      </c>
    </row>
    <row r="75" spans="1:6" x14ac:dyDescent="0.25">
      <c r="A75">
        <v>2018</v>
      </c>
      <c r="B75" t="s">
        <v>31</v>
      </c>
      <c r="C75" t="s">
        <v>11</v>
      </c>
      <c r="D75" t="s">
        <v>8</v>
      </c>
      <c r="E75" t="s">
        <v>23</v>
      </c>
      <c r="F75">
        <v>45.46</v>
      </c>
    </row>
    <row r="76" spans="1:6" x14ac:dyDescent="0.25">
      <c r="A76">
        <v>2018</v>
      </c>
      <c r="B76" t="s">
        <v>31</v>
      </c>
      <c r="C76" t="s">
        <v>30</v>
      </c>
      <c r="D76" t="s">
        <v>13</v>
      </c>
      <c r="E76" t="s">
        <v>23</v>
      </c>
      <c r="F76">
        <v>48.67</v>
      </c>
    </row>
    <row r="77" spans="1:6" x14ac:dyDescent="0.25">
      <c r="A77">
        <v>2018</v>
      </c>
      <c r="B77" t="s">
        <v>31</v>
      </c>
      <c r="C77" t="s">
        <v>18</v>
      </c>
      <c r="D77" t="s">
        <v>13</v>
      </c>
      <c r="E77" t="s">
        <v>23</v>
      </c>
      <c r="F77">
        <v>68.86</v>
      </c>
    </row>
    <row r="78" spans="1:6" x14ac:dyDescent="0.25">
      <c r="A78">
        <v>2018</v>
      </c>
      <c r="B78" t="s">
        <v>31</v>
      </c>
      <c r="C78" t="s">
        <v>16</v>
      </c>
      <c r="D78" t="s">
        <v>7</v>
      </c>
      <c r="E78" t="s">
        <v>23</v>
      </c>
      <c r="F78">
        <v>45.41</v>
      </c>
    </row>
    <row r="79" spans="1:6" x14ac:dyDescent="0.25">
      <c r="A79">
        <v>2018</v>
      </c>
      <c r="B79" t="s">
        <v>31</v>
      </c>
      <c r="C79" t="s">
        <v>17</v>
      </c>
      <c r="D79" t="s">
        <v>12</v>
      </c>
      <c r="E79" t="s">
        <v>23</v>
      </c>
      <c r="F79">
        <v>47.89</v>
      </c>
    </row>
    <row r="80" spans="1:6" x14ac:dyDescent="0.25">
      <c r="A80">
        <v>2018</v>
      </c>
      <c r="B80" t="s">
        <v>31</v>
      </c>
      <c r="C80" t="s">
        <v>5</v>
      </c>
      <c r="D80" t="s">
        <v>7</v>
      </c>
      <c r="E80" t="s">
        <v>24</v>
      </c>
      <c r="F80">
        <v>291</v>
      </c>
    </row>
    <row r="81" spans="1:6" x14ac:dyDescent="0.25">
      <c r="A81">
        <v>2018</v>
      </c>
      <c r="B81" t="s">
        <v>31</v>
      </c>
      <c r="C81" t="s">
        <v>6</v>
      </c>
      <c r="D81" t="s">
        <v>7</v>
      </c>
      <c r="E81" t="s">
        <v>24</v>
      </c>
      <c r="F81">
        <v>157.61000000000001</v>
      </c>
    </row>
    <row r="82" spans="1:6" x14ac:dyDescent="0.25">
      <c r="A82">
        <v>2018</v>
      </c>
      <c r="B82" t="s">
        <v>31</v>
      </c>
      <c r="C82" t="s">
        <v>11</v>
      </c>
      <c r="D82" t="s">
        <v>8</v>
      </c>
      <c r="E82" t="s">
        <v>24</v>
      </c>
      <c r="F82">
        <v>52.2</v>
      </c>
    </row>
    <row r="83" spans="1:6" x14ac:dyDescent="0.25">
      <c r="A83">
        <v>2018</v>
      </c>
      <c r="B83" t="s">
        <v>31</v>
      </c>
      <c r="C83" t="s">
        <v>30</v>
      </c>
      <c r="D83" t="s">
        <v>13</v>
      </c>
      <c r="E83" t="s">
        <v>24</v>
      </c>
      <c r="F83">
        <v>52.48</v>
      </c>
    </row>
    <row r="84" spans="1:6" x14ac:dyDescent="0.25">
      <c r="A84">
        <v>2018</v>
      </c>
      <c r="B84" t="s">
        <v>31</v>
      </c>
      <c r="C84" t="s">
        <v>18</v>
      </c>
      <c r="D84" t="s">
        <v>13</v>
      </c>
      <c r="E84" t="s">
        <v>24</v>
      </c>
      <c r="F84">
        <v>72.239999999999995</v>
      </c>
    </row>
    <row r="85" spans="1:6" x14ac:dyDescent="0.25">
      <c r="A85">
        <v>2018</v>
      </c>
      <c r="B85" t="s">
        <v>31</v>
      </c>
      <c r="C85" t="s">
        <v>16</v>
      </c>
      <c r="D85" t="s">
        <v>7</v>
      </c>
      <c r="E85" t="s">
        <v>24</v>
      </c>
      <c r="F85">
        <v>53.07</v>
      </c>
    </row>
    <row r="86" spans="1:6" x14ac:dyDescent="0.25">
      <c r="A86">
        <v>2018</v>
      </c>
      <c r="B86" t="s">
        <v>31</v>
      </c>
      <c r="C86" t="s">
        <v>17</v>
      </c>
      <c r="D86" t="s">
        <v>12</v>
      </c>
      <c r="E86" t="s">
        <v>24</v>
      </c>
      <c r="F86">
        <v>58.74</v>
      </c>
    </row>
    <row r="87" spans="1:6" x14ac:dyDescent="0.25">
      <c r="A87">
        <v>2019</v>
      </c>
      <c r="B87" t="s">
        <v>29</v>
      </c>
      <c r="C87" t="s">
        <v>5</v>
      </c>
      <c r="D87" t="s">
        <v>7</v>
      </c>
      <c r="E87" t="s">
        <v>10</v>
      </c>
      <c r="F87">
        <v>224.24</v>
      </c>
    </row>
    <row r="88" spans="1:6" x14ac:dyDescent="0.25">
      <c r="A88">
        <v>2019</v>
      </c>
      <c r="B88" t="s">
        <v>29</v>
      </c>
      <c r="C88" t="s">
        <v>6</v>
      </c>
      <c r="D88" t="s">
        <v>7</v>
      </c>
      <c r="E88" t="s">
        <v>10</v>
      </c>
      <c r="F88">
        <v>165.41</v>
      </c>
    </row>
    <row r="89" spans="1:6" x14ac:dyDescent="0.25">
      <c r="A89">
        <v>2019</v>
      </c>
      <c r="B89" t="s">
        <v>29</v>
      </c>
      <c r="C89" t="s">
        <v>11</v>
      </c>
      <c r="D89" t="s">
        <v>8</v>
      </c>
      <c r="E89" t="s">
        <v>10</v>
      </c>
      <c r="F89">
        <v>38.08</v>
      </c>
    </row>
    <row r="90" spans="1:6" x14ac:dyDescent="0.25">
      <c r="A90">
        <v>2019</v>
      </c>
      <c r="B90" t="s">
        <v>29</v>
      </c>
      <c r="C90" t="s">
        <v>30</v>
      </c>
      <c r="D90" t="s">
        <v>13</v>
      </c>
      <c r="E90" t="s">
        <v>10</v>
      </c>
      <c r="F90">
        <v>52.56</v>
      </c>
    </row>
    <row r="91" spans="1:6" x14ac:dyDescent="0.25">
      <c r="A91">
        <v>2019</v>
      </c>
      <c r="B91" t="s">
        <v>29</v>
      </c>
      <c r="C91" t="s">
        <v>18</v>
      </c>
      <c r="D91" t="s">
        <v>13</v>
      </c>
      <c r="E91" t="s">
        <v>10</v>
      </c>
      <c r="F91">
        <v>61.82</v>
      </c>
    </row>
    <row r="92" spans="1:6" x14ac:dyDescent="0.25">
      <c r="A92">
        <v>2019</v>
      </c>
      <c r="B92" t="s">
        <v>29</v>
      </c>
      <c r="C92" t="s">
        <v>16</v>
      </c>
      <c r="D92" t="s">
        <v>7</v>
      </c>
      <c r="E92" t="s">
        <v>10</v>
      </c>
      <c r="F92">
        <v>52.6</v>
      </c>
    </row>
    <row r="93" spans="1:6" x14ac:dyDescent="0.25">
      <c r="A93">
        <v>2019</v>
      </c>
      <c r="B93" t="s">
        <v>29</v>
      </c>
      <c r="C93" t="s">
        <v>17</v>
      </c>
      <c r="D93" t="s">
        <v>12</v>
      </c>
      <c r="E93" t="s">
        <v>10</v>
      </c>
      <c r="F93">
        <v>59.76</v>
      </c>
    </row>
    <row r="94" spans="1:6" x14ac:dyDescent="0.25">
      <c r="A94">
        <v>2019</v>
      </c>
      <c r="B94" t="s">
        <v>29</v>
      </c>
      <c r="C94" t="s">
        <v>5</v>
      </c>
      <c r="D94" t="s">
        <v>7</v>
      </c>
      <c r="E94" t="s">
        <v>23</v>
      </c>
      <c r="F94">
        <v>242.95</v>
      </c>
    </row>
    <row r="95" spans="1:6" x14ac:dyDescent="0.25">
      <c r="A95">
        <v>2019</v>
      </c>
      <c r="B95" t="s">
        <v>29</v>
      </c>
      <c r="C95" t="s">
        <v>6</v>
      </c>
      <c r="D95" t="s">
        <v>7</v>
      </c>
      <c r="E95" t="s">
        <v>23</v>
      </c>
      <c r="F95">
        <v>140.80000000000001</v>
      </c>
    </row>
    <row r="96" spans="1:6" x14ac:dyDescent="0.25">
      <c r="A96">
        <v>2019</v>
      </c>
      <c r="B96" t="s">
        <v>29</v>
      </c>
      <c r="C96" t="s">
        <v>11</v>
      </c>
      <c r="D96" t="s">
        <v>8</v>
      </c>
      <c r="E96" t="s">
        <v>23</v>
      </c>
      <c r="F96">
        <v>46.42</v>
      </c>
    </row>
    <row r="97" spans="1:6" x14ac:dyDescent="0.25">
      <c r="A97">
        <v>2019</v>
      </c>
      <c r="B97" t="s">
        <v>29</v>
      </c>
      <c r="C97" t="s">
        <v>30</v>
      </c>
      <c r="D97" t="s">
        <v>13</v>
      </c>
      <c r="E97" t="s">
        <v>23</v>
      </c>
      <c r="F97">
        <v>49.69</v>
      </c>
    </row>
    <row r="98" spans="1:6" x14ac:dyDescent="0.25">
      <c r="A98">
        <v>2019</v>
      </c>
      <c r="B98" t="s">
        <v>29</v>
      </c>
      <c r="C98" t="s">
        <v>18</v>
      </c>
      <c r="D98" t="s">
        <v>13</v>
      </c>
      <c r="E98" t="s">
        <v>23</v>
      </c>
      <c r="F98">
        <v>70.31</v>
      </c>
    </row>
    <row r="99" spans="1:6" x14ac:dyDescent="0.25">
      <c r="A99">
        <v>2019</v>
      </c>
      <c r="B99" t="s">
        <v>29</v>
      </c>
      <c r="C99" t="s">
        <v>16</v>
      </c>
      <c r="D99" t="s">
        <v>7</v>
      </c>
      <c r="E99" t="s">
        <v>23</v>
      </c>
      <c r="F99">
        <v>46.37</v>
      </c>
    </row>
    <row r="100" spans="1:6" x14ac:dyDescent="0.25">
      <c r="A100">
        <v>2019</v>
      </c>
      <c r="B100" t="s">
        <v>29</v>
      </c>
      <c r="C100" t="s">
        <v>17</v>
      </c>
      <c r="D100" t="s">
        <v>12</v>
      </c>
      <c r="E100" t="s">
        <v>23</v>
      </c>
      <c r="F100">
        <v>48.89</v>
      </c>
    </row>
    <row r="101" spans="1:6" x14ac:dyDescent="0.25">
      <c r="A101">
        <v>2019</v>
      </c>
      <c r="B101" t="s">
        <v>29</v>
      </c>
      <c r="C101" t="s">
        <v>5</v>
      </c>
      <c r="D101" t="s">
        <v>7</v>
      </c>
      <c r="E101" t="s">
        <v>24</v>
      </c>
      <c r="F101">
        <v>297.11</v>
      </c>
    </row>
    <row r="102" spans="1:6" x14ac:dyDescent="0.25">
      <c r="A102">
        <v>2019</v>
      </c>
      <c r="B102" t="s">
        <v>29</v>
      </c>
      <c r="C102" t="s">
        <v>6</v>
      </c>
      <c r="D102" t="s">
        <v>7</v>
      </c>
      <c r="E102" t="s">
        <v>24</v>
      </c>
      <c r="F102">
        <v>160.91999999999999</v>
      </c>
    </row>
    <row r="103" spans="1:6" x14ac:dyDescent="0.25">
      <c r="A103">
        <v>2019</v>
      </c>
      <c r="B103" t="s">
        <v>29</v>
      </c>
      <c r="C103" t="s">
        <v>11</v>
      </c>
      <c r="D103" t="s">
        <v>8</v>
      </c>
      <c r="E103" t="s">
        <v>24</v>
      </c>
      <c r="F103">
        <v>53.3</v>
      </c>
    </row>
    <row r="104" spans="1:6" x14ac:dyDescent="0.25">
      <c r="A104">
        <v>2019</v>
      </c>
      <c r="B104" t="s">
        <v>29</v>
      </c>
      <c r="C104" t="s">
        <v>30</v>
      </c>
      <c r="D104" t="s">
        <v>13</v>
      </c>
      <c r="E104" t="s">
        <v>24</v>
      </c>
      <c r="F104">
        <v>53.58</v>
      </c>
    </row>
    <row r="105" spans="1:6" x14ac:dyDescent="0.25">
      <c r="A105">
        <v>2019</v>
      </c>
      <c r="B105" t="s">
        <v>29</v>
      </c>
      <c r="C105" t="s">
        <v>18</v>
      </c>
      <c r="D105" t="s">
        <v>13</v>
      </c>
      <c r="E105" t="s">
        <v>24</v>
      </c>
      <c r="F105">
        <v>73.760000000000005</v>
      </c>
    </row>
    <row r="106" spans="1:6" x14ac:dyDescent="0.25">
      <c r="A106">
        <v>2019</v>
      </c>
      <c r="B106" t="s">
        <v>29</v>
      </c>
      <c r="C106" t="s">
        <v>16</v>
      </c>
      <c r="D106" t="s">
        <v>7</v>
      </c>
      <c r="E106" t="s">
        <v>24</v>
      </c>
      <c r="F106">
        <v>54.18</v>
      </c>
    </row>
    <row r="107" spans="1:6" x14ac:dyDescent="0.25">
      <c r="A107">
        <v>2019</v>
      </c>
      <c r="B107" t="s">
        <v>29</v>
      </c>
      <c r="C107" t="s">
        <v>17</v>
      </c>
      <c r="D107" t="s">
        <v>12</v>
      </c>
      <c r="E107" t="s">
        <v>24</v>
      </c>
      <c r="F107">
        <v>59.98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60A6-E54B-4F86-8233-82FA39BA3165}">
  <dimension ref="A1:AC48"/>
  <sheetViews>
    <sheetView workbookViewId="0">
      <selection activeCell="F36" sqref="F36"/>
    </sheetView>
  </sheetViews>
  <sheetFormatPr defaultColWidth="9.140625" defaultRowHeight="15" x14ac:dyDescent="0.25"/>
  <sheetData>
    <row r="1" spans="1:29" x14ac:dyDescent="0.25">
      <c r="A1" t="s">
        <v>10</v>
      </c>
      <c r="C1" t="s">
        <v>22</v>
      </c>
      <c r="D1" t="s">
        <v>21</v>
      </c>
      <c r="E1" t="s">
        <v>20</v>
      </c>
      <c r="G1" t="s">
        <v>10</v>
      </c>
      <c r="I1" t="s">
        <v>22</v>
      </c>
      <c r="J1" t="s">
        <v>21</v>
      </c>
      <c r="K1" t="s">
        <v>20</v>
      </c>
      <c r="M1" t="s">
        <v>10</v>
      </c>
      <c r="O1" t="s">
        <v>22</v>
      </c>
      <c r="P1" t="s">
        <v>21</v>
      </c>
      <c r="Q1" t="s">
        <v>20</v>
      </c>
      <c r="S1" t="s">
        <v>10</v>
      </c>
      <c r="U1" t="s">
        <v>22</v>
      </c>
      <c r="V1" t="s">
        <v>21</v>
      </c>
      <c r="W1" t="s">
        <v>20</v>
      </c>
      <c r="Y1" t="s">
        <v>10</v>
      </c>
      <c r="AA1" t="s">
        <v>22</v>
      </c>
      <c r="AB1" t="s">
        <v>21</v>
      </c>
      <c r="AC1" t="s">
        <v>20</v>
      </c>
    </row>
    <row r="2" spans="1:29" x14ac:dyDescent="0.25">
      <c r="A2">
        <v>2015</v>
      </c>
      <c r="B2" t="s">
        <v>5</v>
      </c>
      <c r="C2">
        <f>Sources!F3</f>
        <v>200.99</v>
      </c>
      <c r="D2" s="1">
        <f>2.7*2.7 + (2.7*2.7*0.3)</f>
        <v>9.4770000000000003</v>
      </c>
      <c r="E2">
        <f>C2*D2</f>
        <v>1904.7822300000003</v>
      </c>
      <c r="G2">
        <v>2016</v>
      </c>
      <c r="H2" t="s">
        <v>5</v>
      </c>
      <c r="I2">
        <f>Sources!F24</f>
        <v>207.02</v>
      </c>
      <c r="J2" s="1">
        <f>2.7*2.7 + (2.7*2.7*0.3)</f>
        <v>9.4770000000000003</v>
      </c>
      <c r="K2">
        <f>I2*J2</f>
        <v>1961.9285400000001</v>
      </c>
      <c r="M2">
        <v>2017</v>
      </c>
      <c r="N2" t="s">
        <v>5</v>
      </c>
      <c r="O2">
        <f>Sources!F45</f>
        <v>213.23</v>
      </c>
      <c r="P2" s="1">
        <f>2.7*2.7 + (2.7*2.7*0.3)</f>
        <v>9.4770000000000003</v>
      </c>
      <c r="Q2">
        <f>O2*P2</f>
        <v>2020.78071</v>
      </c>
      <c r="S2">
        <v>2018</v>
      </c>
      <c r="T2" t="s">
        <v>5</v>
      </c>
      <c r="U2">
        <f>Sources!F66</f>
        <v>219.63</v>
      </c>
      <c r="V2" s="1">
        <f>2.7*2.7 + (2.7*2.7*0.3)</f>
        <v>9.4770000000000003</v>
      </c>
      <c r="W2">
        <f>U2*V2</f>
        <v>2081.4335099999998</v>
      </c>
      <c r="Y2">
        <v>2019</v>
      </c>
      <c r="Z2" t="s">
        <v>5</v>
      </c>
      <c r="AA2">
        <f>Sources!F87</f>
        <v>224.24</v>
      </c>
      <c r="AB2" s="1">
        <f>2.7*2.7 + (2.7*2.7*0.3)</f>
        <v>9.4770000000000003</v>
      </c>
      <c r="AC2">
        <f>AA2*AB2</f>
        <v>2125.12248</v>
      </c>
    </row>
    <row r="3" spans="1:29" x14ac:dyDescent="0.25">
      <c r="B3" t="s">
        <v>6</v>
      </c>
      <c r="C3">
        <f>Sources!F4</f>
        <v>148.26</v>
      </c>
      <c r="D3" s="1">
        <f t="shared" ref="D3:D8" si="0">2.7*2.7 + (2.7*2.7*0.3)</f>
        <v>9.4770000000000003</v>
      </c>
      <c r="E3">
        <f t="shared" ref="E3:E6" si="1">C3*D3</f>
        <v>1405.0600199999999</v>
      </c>
      <c r="H3" t="s">
        <v>6</v>
      </c>
      <c r="I3">
        <f>Sources!F25</f>
        <v>152.71</v>
      </c>
      <c r="J3" s="1">
        <f t="shared" ref="J3:J8" si="2">2.7*2.7 + (2.7*2.7*0.3)</f>
        <v>9.4770000000000003</v>
      </c>
      <c r="K3">
        <f t="shared" ref="K3:K6" si="3">I3*J3</f>
        <v>1447.2326700000001</v>
      </c>
      <c r="N3" t="s">
        <v>6</v>
      </c>
      <c r="O3">
        <f>Sources!F46</f>
        <v>157.29</v>
      </c>
      <c r="P3" s="1">
        <f t="shared" ref="P3:P8" si="4">2.7*2.7 + (2.7*2.7*0.3)</f>
        <v>9.4770000000000003</v>
      </c>
      <c r="Q3">
        <f t="shared" ref="Q3:Q6" si="5">O3*P3</f>
        <v>1490.63733</v>
      </c>
      <c r="T3" t="s">
        <v>6</v>
      </c>
      <c r="U3">
        <f>Sources!F67</f>
        <v>162.01</v>
      </c>
      <c r="V3" s="1">
        <f t="shared" ref="V3:V8" si="6">2.7*2.7 + (2.7*2.7*0.3)</f>
        <v>9.4770000000000003</v>
      </c>
      <c r="W3">
        <f t="shared" ref="W3:W6" si="7">U3*V3</f>
        <v>1535.36877</v>
      </c>
      <c r="Z3" t="s">
        <v>6</v>
      </c>
      <c r="AA3">
        <f>Sources!F88</f>
        <v>165.41</v>
      </c>
      <c r="AB3" s="1">
        <f t="shared" ref="AB3:AB8" si="8">2.7*2.7 + (2.7*2.7*0.3)</f>
        <v>9.4770000000000003</v>
      </c>
      <c r="AC3">
        <f t="shared" ref="AC3:AC6" si="9">AA3*AB3</f>
        <v>1567.5905700000001</v>
      </c>
    </row>
    <row r="4" spans="1:29" x14ac:dyDescent="0.25">
      <c r="B4" t="s">
        <v>11</v>
      </c>
      <c r="C4">
        <f>Sources!F5</f>
        <v>34.130000000000003</v>
      </c>
      <c r="D4" s="1">
        <f t="shared" si="0"/>
        <v>9.4770000000000003</v>
      </c>
      <c r="E4">
        <f t="shared" si="1"/>
        <v>323.45001000000002</v>
      </c>
      <c r="H4" t="s">
        <v>11</v>
      </c>
      <c r="I4">
        <f>Sources!F26</f>
        <v>35.159999999999997</v>
      </c>
      <c r="J4" s="1">
        <f t="shared" si="2"/>
        <v>9.4770000000000003</v>
      </c>
      <c r="K4">
        <f t="shared" si="3"/>
        <v>333.21132</v>
      </c>
      <c r="N4" t="s">
        <v>11</v>
      </c>
      <c r="O4">
        <f>Sources!F47</f>
        <v>36.21</v>
      </c>
      <c r="P4" s="1">
        <f t="shared" si="4"/>
        <v>9.4770000000000003</v>
      </c>
      <c r="Q4">
        <f t="shared" si="5"/>
        <v>343.16217</v>
      </c>
      <c r="T4" t="s">
        <v>11</v>
      </c>
      <c r="U4">
        <f>Sources!F68</f>
        <v>37.299999999999997</v>
      </c>
      <c r="V4" s="1">
        <f t="shared" si="6"/>
        <v>9.4770000000000003</v>
      </c>
      <c r="W4">
        <f t="shared" si="7"/>
        <v>353.49209999999999</v>
      </c>
      <c r="Z4" t="s">
        <v>11</v>
      </c>
      <c r="AA4">
        <f>Sources!F89</f>
        <v>38.08</v>
      </c>
      <c r="AB4" s="1">
        <f t="shared" si="8"/>
        <v>9.4770000000000003</v>
      </c>
      <c r="AC4">
        <f t="shared" si="9"/>
        <v>360.88416000000001</v>
      </c>
    </row>
    <row r="5" spans="1:29" x14ac:dyDescent="0.25">
      <c r="B5" t="s">
        <v>14</v>
      </c>
      <c r="C5">
        <f>Sources!F6</f>
        <v>47.11</v>
      </c>
      <c r="D5" s="1">
        <f t="shared" si="0"/>
        <v>9.4770000000000003</v>
      </c>
      <c r="E5">
        <f t="shared" si="1"/>
        <v>446.46147000000002</v>
      </c>
      <c r="H5" t="s">
        <v>14</v>
      </c>
      <c r="I5">
        <f>Sources!F27</f>
        <v>48.53</v>
      </c>
      <c r="J5" s="1">
        <f t="shared" si="2"/>
        <v>9.4770000000000003</v>
      </c>
      <c r="K5">
        <f t="shared" si="3"/>
        <v>459.91881000000001</v>
      </c>
      <c r="N5" t="s">
        <v>14</v>
      </c>
      <c r="O5">
        <f>Sources!F48</f>
        <v>49.98</v>
      </c>
      <c r="P5" s="1">
        <f t="shared" si="4"/>
        <v>9.4770000000000003</v>
      </c>
      <c r="Q5">
        <f t="shared" si="5"/>
        <v>473.66046</v>
      </c>
      <c r="T5" t="s">
        <v>14</v>
      </c>
      <c r="U5">
        <f>Sources!F69</f>
        <v>51.48</v>
      </c>
      <c r="V5" s="1">
        <f t="shared" si="6"/>
        <v>9.4770000000000003</v>
      </c>
      <c r="W5">
        <f t="shared" si="7"/>
        <v>487.87595999999996</v>
      </c>
      <c r="Z5" t="s">
        <v>14</v>
      </c>
      <c r="AA5">
        <f>Sources!F90</f>
        <v>52.56</v>
      </c>
      <c r="AB5" s="1">
        <f t="shared" si="8"/>
        <v>9.4770000000000003</v>
      </c>
      <c r="AC5">
        <f t="shared" si="9"/>
        <v>498.11112000000003</v>
      </c>
    </row>
    <row r="6" spans="1:29" x14ac:dyDescent="0.25">
      <c r="B6" t="s">
        <v>18</v>
      </c>
      <c r="C6">
        <f>Sources!F7</f>
        <v>55.41</v>
      </c>
      <c r="D6" s="1">
        <f t="shared" si="0"/>
        <v>9.4770000000000003</v>
      </c>
      <c r="E6">
        <f t="shared" si="1"/>
        <v>525.12056999999993</v>
      </c>
      <c r="H6" t="s">
        <v>18</v>
      </c>
      <c r="I6">
        <f>Sources!F28</f>
        <v>57.07</v>
      </c>
      <c r="J6" s="1">
        <f t="shared" si="2"/>
        <v>9.4770000000000003</v>
      </c>
      <c r="K6">
        <f t="shared" si="3"/>
        <v>540.85239000000001</v>
      </c>
      <c r="N6" t="s">
        <v>18</v>
      </c>
      <c r="O6">
        <f>Sources!F49</f>
        <v>58.78</v>
      </c>
      <c r="P6" s="1">
        <f t="shared" si="4"/>
        <v>9.4770000000000003</v>
      </c>
      <c r="Q6">
        <f t="shared" si="5"/>
        <v>557.05806000000007</v>
      </c>
      <c r="T6" t="s">
        <v>18</v>
      </c>
      <c r="U6">
        <f>Sources!F70</f>
        <v>60.54</v>
      </c>
      <c r="V6" s="1">
        <f t="shared" si="6"/>
        <v>9.4770000000000003</v>
      </c>
      <c r="W6">
        <f t="shared" si="7"/>
        <v>573.73757999999998</v>
      </c>
      <c r="Z6" t="s">
        <v>18</v>
      </c>
      <c r="AA6">
        <f>Sources!F91</f>
        <v>61.82</v>
      </c>
      <c r="AB6" s="1">
        <f t="shared" si="8"/>
        <v>9.4770000000000003</v>
      </c>
      <c r="AC6">
        <f t="shared" si="9"/>
        <v>585.86814000000004</v>
      </c>
    </row>
    <row r="7" spans="1:29" x14ac:dyDescent="0.25">
      <c r="B7" t="s">
        <v>16</v>
      </c>
      <c r="C7">
        <f>Sources!F8</f>
        <v>47.15</v>
      </c>
      <c r="D7" s="1">
        <f t="shared" si="0"/>
        <v>9.4770000000000003</v>
      </c>
      <c r="E7">
        <f>C7*D7</f>
        <v>446.84055000000001</v>
      </c>
      <c r="H7" t="s">
        <v>16</v>
      </c>
      <c r="I7">
        <f>Sources!F29</f>
        <v>48.56</v>
      </c>
      <c r="J7" s="1">
        <f t="shared" si="2"/>
        <v>9.4770000000000003</v>
      </c>
      <c r="K7">
        <f>I7*J7</f>
        <v>460.20312000000001</v>
      </c>
      <c r="N7" t="s">
        <v>16</v>
      </c>
      <c r="O7">
        <f>Sources!F50</f>
        <v>50.02</v>
      </c>
      <c r="P7" s="1">
        <f t="shared" si="4"/>
        <v>9.4770000000000003</v>
      </c>
      <c r="Q7">
        <f>O7*P7</f>
        <v>474.03954000000004</v>
      </c>
      <c r="T7" t="s">
        <v>16</v>
      </c>
      <c r="U7">
        <f>Sources!F71</f>
        <v>51.52</v>
      </c>
      <c r="V7" s="1">
        <f t="shared" si="6"/>
        <v>9.4770000000000003</v>
      </c>
      <c r="W7">
        <f>U7*V7</f>
        <v>488.25504000000006</v>
      </c>
      <c r="Z7" t="s">
        <v>16</v>
      </c>
      <c r="AA7">
        <f>Sources!F92</f>
        <v>52.6</v>
      </c>
      <c r="AB7" s="1">
        <f t="shared" si="8"/>
        <v>9.4770000000000003</v>
      </c>
      <c r="AC7">
        <f>AA7*AB7</f>
        <v>498.49020000000002</v>
      </c>
    </row>
    <row r="8" spans="1:29" x14ac:dyDescent="0.25">
      <c r="B8" t="s">
        <v>17</v>
      </c>
      <c r="C8">
        <f>Sources!F9</f>
        <v>53.56</v>
      </c>
      <c r="D8" s="1">
        <f t="shared" si="0"/>
        <v>9.4770000000000003</v>
      </c>
      <c r="E8">
        <f>C8*D8</f>
        <v>507.58812000000006</v>
      </c>
      <c r="H8" t="s">
        <v>17</v>
      </c>
      <c r="I8">
        <f>Sources!F30</f>
        <v>55.17</v>
      </c>
      <c r="J8" s="1">
        <f t="shared" si="2"/>
        <v>9.4770000000000003</v>
      </c>
      <c r="K8">
        <f>I8*J8</f>
        <v>522.84609</v>
      </c>
      <c r="N8" t="s">
        <v>17</v>
      </c>
      <c r="O8">
        <f>Sources!F51</f>
        <v>56.82</v>
      </c>
      <c r="P8" s="1">
        <f t="shared" si="4"/>
        <v>9.4770000000000003</v>
      </c>
      <c r="Q8">
        <f>O8*P8</f>
        <v>538.48314000000005</v>
      </c>
      <c r="T8" t="s">
        <v>17</v>
      </c>
      <c r="U8">
        <f>Sources!F72</f>
        <v>58.53</v>
      </c>
      <c r="V8" s="1">
        <f t="shared" si="6"/>
        <v>9.4770000000000003</v>
      </c>
      <c r="W8">
        <f>U8*V8</f>
        <v>554.68880999999999</v>
      </c>
      <c r="Z8" t="s">
        <v>17</v>
      </c>
      <c r="AA8">
        <f>Sources!F93</f>
        <v>59.76</v>
      </c>
      <c r="AB8" s="1">
        <f t="shared" si="8"/>
        <v>9.4770000000000003</v>
      </c>
      <c r="AC8">
        <f>AA8*AB8</f>
        <v>566.34551999999996</v>
      </c>
    </row>
    <row r="9" spans="1:29" x14ac:dyDescent="0.25">
      <c r="E9">
        <f>SUM(E2:E8)</f>
        <v>5559.3029700000006</v>
      </c>
      <c r="F9">
        <f>E9/D8</f>
        <v>586.61</v>
      </c>
      <c r="K9">
        <f>SUM(K2:K8)</f>
        <v>5726.1929399999999</v>
      </c>
      <c r="Q9">
        <f>SUM(Q2:Q8)</f>
        <v>5897.8214100000005</v>
      </c>
      <c r="W9">
        <f>SUM(W2:W8)</f>
        <v>6074.8517699999993</v>
      </c>
      <c r="AC9">
        <f>SUM(AC2:AC8)</f>
        <v>6202.41219</v>
      </c>
    </row>
    <row r="10" spans="1:29" x14ac:dyDescent="0.25">
      <c r="F10">
        <f>F9*2</f>
        <v>1173.22</v>
      </c>
    </row>
    <row r="11" spans="1:29" x14ac:dyDescent="0.25">
      <c r="A11" t="s">
        <v>23</v>
      </c>
      <c r="C11" t="s">
        <v>22</v>
      </c>
      <c r="D11" t="s">
        <v>21</v>
      </c>
      <c r="E11" t="s">
        <v>20</v>
      </c>
      <c r="G11" t="s">
        <v>23</v>
      </c>
      <c r="I11" t="s">
        <v>22</v>
      </c>
      <c r="J11" t="s">
        <v>21</v>
      </c>
      <c r="K11" t="s">
        <v>20</v>
      </c>
      <c r="M11" t="s">
        <v>23</v>
      </c>
      <c r="O11" t="s">
        <v>22</v>
      </c>
      <c r="P11" t="s">
        <v>21</v>
      </c>
      <c r="Q11" t="s">
        <v>20</v>
      </c>
      <c r="S11" t="s">
        <v>23</v>
      </c>
      <c r="U11" t="s">
        <v>22</v>
      </c>
      <c r="V11" t="s">
        <v>21</v>
      </c>
      <c r="W11" t="s">
        <v>20</v>
      </c>
      <c r="Y11" t="s">
        <v>23</v>
      </c>
      <c r="AA11" t="s">
        <v>22</v>
      </c>
      <c r="AB11" t="s">
        <v>21</v>
      </c>
      <c r="AC11" t="s">
        <v>20</v>
      </c>
    </row>
    <row r="12" spans="1:29" x14ac:dyDescent="0.25">
      <c r="A12">
        <v>2015</v>
      </c>
      <c r="B12" t="s">
        <v>5</v>
      </c>
      <c r="C12">
        <f>Sources!F10</f>
        <v>217.76</v>
      </c>
      <c r="D12" s="1">
        <f>2.7*2.7 + (2.7*2.7*0.3)</f>
        <v>9.4770000000000003</v>
      </c>
      <c r="E12">
        <f>C12*D12</f>
        <v>2063.7115199999998</v>
      </c>
      <c r="G12">
        <v>2016</v>
      </c>
      <c r="H12" t="s">
        <v>5</v>
      </c>
      <c r="I12">
        <f>Sources!F31</f>
        <v>224.29</v>
      </c>
      <c r="J12" s="1">
        <f>2.7*2.7 + (2.7*2.7*0.3)</f>
        <v>9.4770000000000003</v>
      </c>
      <c r="K12">
        <f>I12*J12</f>
        <v>2125.5963299999999</v>
      </c>
      <c r="M12">
        <v>2017</v>
      </c>
      <c r="N12" t="s">
        <v>5</v>
      </c>
      <c r="O12">
        <f>Sources!F52</f>
        <v>231.02</v>
      </c>
      <c r="P12" s="1">
        <f>2.7*2.7 + (2.7*2.7*0.3)</f>
        <v>9.4770000000000003</v>
      </c>
      <c r="Q12">
        <f>O12*P12</f>
        <v>2189.3765400000002</v>
      </c>
      <c r="S12">
        <v>2018</v>
      </c>
      <c r="T12" t="s">
        <v>5</v>
      </c>
      <c r="U12">
        <f>Sources!F73</f>
        <v>237.95</v>
      </c>
      <c r="V12" s="1">
        <f>2.7*2.7 + (2.7*2.7*0.3)</f>
        <v>9.4770000000000003</v>
      </c>
      <c r="W12">
        <f>U12*V12</f>
        <v>2255.05215</v>
      </c>
      <c r="Y12">
        <v>2019</v>
      </c>
      <c r="Z12" t="s">
        <v>5</v>
      </c>
      <c r="AA12">
        <f>Sources!F94</f>
        <v>242.95</v>
      </c>
      <c r="AB12" s="1">
        <f>2.7*2.7 + (2.7*2.7*0.3)</f>
        <v>9.4770000000000003</v>
      </c>
      <c r="AC12">
        <f>AA12*AB12</f>
        <v>2302.4371499999997</v>
      </c>
    </row>
    <row r="13" spans="1:29" x14ac:dyDescent="0.25">
      <c r="B13" t="s">
        <v>6</v>
      </c>
      <c r="C13">
        <f>Sources!F11</f>
        <v>126.2</v>
      </c>
      <c r="D13" s="1">
        <f t="shared" ref="D13:D18" si="10">2.7*2.7 + (2.7*2.7*0.3)</f>
        <v>9.4770000000000003</v>
      </c>
      <c r="E13">
        <f t="shared" ref="E13:E17" si="11">C13*D13</f>
        <v>1195.9974</v>
      </c>
      <c r="H13" t="s">
        <v>6</v>
      </c>
      <c r="I13">
        <f>Sources!F32</f>
        <v>129.99</v>
      </c>
      <c r="J13" s="1">
        <f t="shared" ref="J13:J18" si="12">2.7*2.7 + (2.7*2.7*0.3)</f>
        <v>9.4770000000000003</v>
      </c>
      <c r="K13">
        <f t="shared" ref="K13:K17" si="13">I13*J13</f>
        <v>1231.9152300000001</v>
      </c>
      <c r="N13" t="s">
        <v>6</v>
      </c>
      <c r="O13">
        <f>Sources!F53</f>
        <v>133.88999999999999</v>
      </c>
      <c r="P13" s="1">
        <f t="shared" ref="P13:P18" si="14">2.7*2.7 + (2.7*2.7*0.3)</f>
        <v>9.4770000000000003</v>
      </c>
      <c r="Q13">
        <f t="shared" ref="Q13:Q17" si="15">O13*P13</f>
        <v>1268.87553</v>
      </c>
      <c r="T13" t="s">
        <v>6</v>
      </c>
      <c r="U13">
        <f>Sources!F74</f>
        <v>137.9</v>
      </c>
      <c r="V13" s="1">
        <f t="shared" ref="V13:V18" si="16">2.7*2.7 + (2.7*2.7*0.3)</f>
        <v>9.4770000000000003</v>
      </c>
      <c r="W13">
        <f t="shared" ref="W13:W17" si="17">U13*V13</f>
        <v>1306.8783000000001</v>
      </c>
      <c r="Z13" t="s">
        <v>6</v>
      </c>
      <c r="AA13">
        <f>Sources!F95</f>
        <v>140.80000000000001</v>
      </c>
      <c r="AB13" s="1">
        <f t="shared" ref="AB13:AB18" si="18">2.7*2.7 + (2.7*2.7*0.3)</f>
        <v>9.4770000000000003</v>
      </c>
      <c r="AC13">
        <f t="shared" ref="AC13:AC17" si="19">AA13*AB13</f>
        <v>1334.3616000000002</v>
      </c>
    </row>
    <row r="14" spans="1:29" x14ac:dyDescent="0.25">
      <c r="B14" t="s">
        <v>11</v>
      </c>
      <c r="C14">
        <f>Sources!F12</f>
        <v>41.6</v>
      </c>
      <c r="D14" s="1">
        <f t="shared" si="10"/>
        <v>9.4770000000000003</v>
      </c>
      <c r="E14">
        <f t="shared" si="11"/>
        <v>394.2432</v>
      </c>
      <c r="H14" t="s">
        <v>11</v>
      </c>
      <c r="I14">
        <f>Sources!F33</f>
        <v>42.85</v>
      </c>
      <c r="J14" s="1">
        <f t="shared" si="12"/>
        <v>9.4770000000000003</v>
      </c>
      <c r="K14">
        <f t="shared" si="13"/>
        <v>406.08945</v>
      </c>
      <c r="N14" t="s">
        <v>11</v>
      </c>
      <c r="O14">
        <f>Sources!F54</f>
        <v>44.14</v>
      </c>
      <c r="P14" s="1">
        <f t="shared" si="14"/>
        <v>9.4770000000000003</v>
      </c>
      <c r="Q14">
        <f t="shared" si="15"/>
        <v>418.31478000000004</v>
      </c>
      <c r="T14" t="s">
        <v>11</v>
      </c>
      <c r="U14">
        <f>Sources!F75</f>
        <v>45.46</v>
      </c>
      <c r="V14" s="1">
        <f t="shared" si="16"/>
        <v>9.4770000000000003</v>
      </c>
      <c r="W14">
        <f t="shared" si="17"/>
        <v>430.82442000000003</v>
      </c>
      <c r="Z14" t="s">
        <v>11</v>
      </c>
      <c r="AA14">
        <f>Sources!F96</f>
        <v>46.42</v>
      </c>
      <c r="AB14" s="1">
        <f t="shared" si="18"/>
        <v>9.4770000000000003</v>
      </c>
      <c r="AC14">
        <f t="shared" si="19"/>
        <v>439.92234000000002</v>
      </c>
    </row>
    <row r="15" spans="1:29" x14ac:dyDescent="0.25">
      <c r="B15" t="s">
        <v>14</v>
      </c>
      <c r="C15">
        <f>Sources!F13</f>
        <v>44.54</v>
      </c>
      <c r="D15" s="1">
        <f t="shared" si="10"/>
        <v>9.4770000000000003</v>
      </c>
      <c r="E15">
        <f t="shared" si="11"/>
        <v>422.10558000000003</v>
      </c>
      <c r="H15" t="s">
        <v>14</v>
      </c>
      <c r="I15">
        <f>Sources!F34</f>
        <v>45.88</v>
      </c>
      <c r="J15" s="1">
        <f t="shared" si="12"/>
        <v>9.4770000000000003</v>
      </c>
      <c r="K15">
        <f t="shared" si="13"/>
        <v>434.80476000000004</v>
      </c>
      <c r="N15" t="s">
        <v>14</v>
      </c>
      <c r="O15">
        <f>Sources!F55</f>
        <v>47.25</v>
      </c>
      <c r="P15" s="1">
        <f t="shared" si="14"/>
        <v>9.4770000000000003</v>
      </c>
      <c r="Q15">
        <f t="shared" si="15"/>
        <v>447.78825000000001</v>
      </c>
      <c r="T15" t="s">
        <v>14</v>
      </c>
      <c r="U15">
        <f>Sources!F76</f>
        <v>48.67</v>
      </c>
      <c r="V15" s="1">
        <f t="shared" si="16"/>
        <v>9.4770000000000003</v>
      </c>
      <c r="W15">
        <f t="shared" si="17"/>
        <v>461.24559000000005</v>
      </c>
      <c r="Z15" t="s">
        <v>14</v>
      </c>
      <c r="AA15">
        <f>Sources!F97</f>
        <v>49.69</v>
      </c>
      <c r="AB15" s="1">
        <f t="shared" si="18"/>
        <v>9.4770000000000003</v>
      </c>
      <c r="AC15">
        <f t="shared" si="19"/>
        <v>470.91212999999999</v>
      </c>
    </row>
    <row r="16" spans="1:29" x14ac:dyDescent="0.25">
      <c r="B16" t="s">
        <v>18</v>
      </c>
      <c r="C16">
        <f>Sources!F14</f>
        <v>63.02</v>
      </c>
      <c r="D16" s="1">
        <f t="shared" si="10"/>
        <v>9.4770000000000003</v>
      </c>
      <c r="E16">
        <f t="shared" si="11"/>
        <v>597.24054000000001</v>
      </c>
      <c r="H16" t="s">
        <v>18</v>
      </c>
      <c r="I16">
        <f>Sources!F35</f>
        <v>64.91</v>
      </c>
      <c r="J16" s="1">
        <f t="shared" si="12"/>
        <v>9.4770000000000003</v>
      </c>
      <c r="K16">
        <f t="shared" si="13"/>
        <v>615.15206999999998</v>
      </c>
      <c r="N16" t="s">
        <v>18</v>
      </c>
      <c r="O16">
        <f>Sources!F56</f>
        <v>66.86</v>
      </c>
      <c r="P16" s="1">
        <f t="shared" si="14"/>
        <v>9.4770000000000003</v>
      </c>
      <c r="Q16">
        <f t="shared" si="15"/>
        <v>633.63221999999996</v>
      </c>
      <c r="T16" t="s">
        <v>18</v>
      </c>
      <c r="U16">
        <f>Sources!F77</f>
        <v>68.86</v>
      </c>
      <c r="V16" s="1">
        <f t="shared" si="16"/>
        <v>9.4770000000000003</v>
      </c>
      <c r="W16">
        <f t="shared" si="17"/>
        <v>652.58622000000003</v>
      </c>
      <c r="Z16" t="s">
        <v>18</v>
      </c>
      <c r="AA16">
        <f>Sources!F98</f>
        <v>70.31</v>
      </c>
      <c r="AB16" s="1">
        <f t="shared" si="18"/>
        <v>9.4770000000000003</v>
      </c>
      <c r="AC16">
        <f t="shared" si="19"/>
        <v>666.32787000000008</v>
      </c>
    </row>
    <row r="17" spans="1:29" x14ac:dyDescent="0.25">
      <c r="B17" t="s">
        <v>16</v>
      </c>
      <c r="C17">
        <f>Sources!F15</f>
        <v>41.56</v>
      </c>
      <c r="D17" s="1">
        <f t="shared" si="10"/>
        <v>9.4770000000000003</v>
      </c>
      <c r="E17">
        <f t="shared" si="11"/>
        <v>393.86412000000001</v>
      </c>
      <c r="H17" t="s">
        <v>16</v>
      </c>
      <c r="I17">
        <f>Sources!F36</f>
        <v>42.81</v>
      </c>
      <c r="J17" s="1">
        <f t="shared" si="12"/>
        <v>9.4770000000000003</v>
      </c>
      <c r="K17">
        <f t="shared" si="13"/>
        <v>405.71037000000001</v>
      </c>
      <c r="N17" t="s">
        <v>16</v>
      </c>
      <c r="O17">
        <f>Sources!F57</f>
        <v>44.09</v>
      </c>
      <c r="P17" s="1">
        <f t="shared" si="14"/>
        <v>9.4770000000000003</v>
      </c>
      <c r="Q17">
        <f t="shared" si="15"/>
        <v>417.84093000000007</v>
      </c>
      <c r="T17" t="s">
        <v>16</v>
      </c>
      <c r="U17">
        <f>Sources!F78</f>
        <v>45.41</v>
      </c>
      <c r="V17" s="1">
        <f t="shared" si="16"/>
        <v>9.4770000000000003</v>
      </c>
      <c r="W17">
        <f t="shared" si="17"/>
        <v>430.35057</v>
      </c>
      <c r="Z17" t="s">
        <v>16</v>
      </c>
      <c r="AA17">
        <f>Sources!F99</f>
        <v>46.37</v>
      </c>
      <c r="AB17" s="1">
        <f t="shared" si="18"/>
        <v>9.4770000000000003</v>
      </c>
      <c r="AC17">
        <f t="shared" si="19"/>
        <v>439.44848999999999</v>
      </c>
    </row>
    <row r="18" spans="1:29" x14ac:dyDescent="0.25">
      <c r="B18" t="s">
        <v>17</v>
      </c>
      <c r="C18">
        <f>Sources!F16</f>
        <v>43.82</v>
      </c>
      <c r="D18" s="1">
        <f t="shared" si="10"/>
        <v>9.4770000000000003</v>
      </c>
      <c r="E18">
        <f>C18*D18</f>
        <v>415.28214000000003</v>
      </c>
      <c r="H18" t="s">
        <v>17</v>
      </c>
      <c r="I18">
        <f>Sources!F37</f>
        <v>45.14</v>
      </c>
      <c r="J18" s="1">
        <f t="shared" si="12"/>
        <v>9.4770000000000003</v>
      </c>
      <c r="K18">
        <f>I18*J18</f>
        <v>427.79178000000002</v>
      </c>
      <c r="N18" t="s">
        <v>17</v>
      </c>
      <c r="O18">
        <f>Sources!F58</f>
        <v>46.49</v>
      </c>
      <c r="P18" s="1">
        <f t="shared" si="14"/>
        <v>9.4770000000000003</v>
      </c>
      <c r="Q18">
        <f>O18*P18</f>
        <v>440.58573000000001</v>
      </c>
      <c r="T18" t="s">
        <v>17</v>
      </c>
      <c r="U18">
        <f>Sources!F79</f>
        <v>47.89</v>
      </c>
      <c r="V18" s="1">
        <f t="shared" si="16"/>
        <v>9.4770000000000003</v>
      </c>
      <c r="W18">
        <f>U18*V18</f>
        <v>453.85353000000003</v>
      </c>
      <c r="Z18" t="s">
        <v>17</v>
      </c>
      <c r="AA18">
        <f>Sources!F100</f>
        <v>48.89</v>
      </c>
      <c r="AB18" s="1">
        <f t="shared" si="18"/>
        <v>9.4770000000000003</v>
      </c>
      <c r="AC18">
        <f>AA18*AB18</f>
        <v>463.33053000000001</v>
      </c>
    </row>
    <row r="19" spans="1:29" x14ac:dyDescent="0.25">
      <c r="E19">
        <f>SUM(E12:E18)</f>
        <v>5482.4445000000005</v>
      </c>
      <c r="F19">
        <f>E19/D18</f>
        <v>578.5</v>
      </c>
      <c r="K19">
        <f>SUM(K12:K18)</f>
        <v>5647.0599899999997</v>
      </c>
      <c r="Q19">
        <f>SUM(Q12:Q18)</f>
        <v>5816.4139800000003</v>
      </c>
      <c r="W19">
        <f>SUM(W12:W18)</f>
        <v>5990.7907800000003</v>
      </c>
      <c r="AC19">
        <f>SUM(AC12:AC18)</f>
        <v>6116.7401099999997</v>
      </c>
    </row>
    <row r="20" spans="1:29" x14ac:dyDescent="0.25">
      <c r="F20">
        <f>F19*2</f>
        <v>1157</v>
      </c>
    </row>
    <row r="21" spans="1:29" x14ac:dyDescent="0.25">
      <c r="A21" t="s">
        <v>24</v>
      </c>
      <c r="C21" t="s">
        <v>22</v>
      </c>
      <c r="D21" t="s">
        <v>21</v>
      </c>
      <c r="E21" t="s">
        <v>20</v>
      </c>
      <c r="G21" t="s">
        <v>24</v>
      </c>
      <c r="I21" t="s">
        <v>22</v>
      </c>
      <c r="J21" t="s">
        <v>21</v>
      </c>
      <c r="K21" t="s">
        <v>20</v>
      </c>
      <c r="M21" t="s">
        <v>24</v>
      </c>
      <c r="O21" t="s">
        <v>22</v>
      </c>
      <c r="P21" t="s">
        <v>21</v>
      </c>
      <c r="Q21" t="s">
        <v>20</v>
      </c>
      <c r="S21" t="s">
        <v>24</v>
      </c>
      <c r="U21" t="s">
        <v>22</v>
      </c>
      <c r="V21" t="s">
        <v>21</v>
      </c>
      <c r="W21" t="s">
        <v>20</v>
      </c>
      <c r="Y21" t="s">
        <v>24</v>
      </c>
      <c r="AA21" t="s">
        <v>22</v>
      </c>
      <c r="AB21" t="s">
        <v>21</v>
      </c>
      <c r="AC21" t="s">
        <v>20</v>
      </c>
    </row>
    <row r="22" spans="1:29" x14ac:dyDescent="0.25">
      <c r="A22">
        <v>2015</v>
      </c>
      <c r="B22" t="s">
        <v>5</v>
      </c>
      <c r="C22">
        <f>Sources!F17</f>
        <v>266.31</v>
      </c>
      <c r="D22" s="1">
        <f>2.7*2.7 + (2.7*2.7*0.3)</f>
        <v>9.4770000000000003</v>
      </c>
      <c r="E22">
        <f>C22*D22</f>
        <v>2523.8198700000003</v>
      </c>
      <c r="G22">
        <v>2016</v>
      </c>
      <c r="H22" t="s">
        <v>5</v>
      </c>
      <c r="I22">
        <f>Sources!F38</f>
        <v>274.3</v>
      </c>
      <c r="J22" s="1">
        <f>2.7*2.7 + (2.7*2.7*0.3)</f>
        <v>9.4770000000000003</v>
      </c>
      <c r="K22">
        <f>I22*J22</f>
        <v>2599.5411000000004</v>
      </c>
      <c r="M22">
        <v>2017</v>
      </c>
      <c r="N22" t="s">
        <v>5</v>
      </c>
      <c r="O22">
        <f>Sources!F59</f>
        <v>282.52999999999997</v>
      </c>
      <c r="P22" s="1">
        <f>2.7*2.7 + (2.7*2.7*0.3)</f>
        <v>9.4770000000000003</v>
      </c>
      <c r="Q22">
        <f>O22*P22</f>
        <v>2677.5368099999996</v>
      </c>
      <c r="S22">
        <v>2018</v>
      </c>
      <c r="T22" t="s">
        <v>5</v>
      </c>
      <c r="U22">
        <f>Sources!F80</f>
        <v>291</v>
      </c>
      <c r="V22" s="1">
        <f>2.7*2.7 + (2.7*2.7*0.3)</f>
        <v>9.4770000000000003</v>
      </c>
      <c r="W22">
        <f>U22*V22</f>
        <v>2757.8070000000002</v>
      </c>
      <c r="Y22">
        <v>2019</v>
      </c>
      <c r="Z22" t="s">
        <v>5</v>
      </c>
      <c r="AA22">
        <f>Sources!F101</f>
        <v>297.11</v>
      </c>
      <c r="AB22" s="1">
        <f>2.7*2.7 + (2.7*2.7*0.3)</f>
        <v>9.4770000000000003</v>
      </c>
      <c r="AC22">
        <f>AA22*AB22</f>
        <v>2815.7114700000002</v>
      </c>
    </row>
    <row r="23" spans="1:29" x14ac:dyDescent="0.25">
      <c r="B23" t="s">
        <v>6</v>
      </c>
      <c r="C23">
        <f>Sources!F18</f>
        <v>144.22999999999999</v>
      </c>
      <c r="D23" s="1">
        <f t="shared" ref="D23:D28" si="20">2.7*2.7 + (2.7*2.7*0.3)</f>
        <v>9.4770000000000003</v>
      </c>
      <c r="E23">
        <f t="shared" ref="E23:E27" si="21">C23*D23</f>
        <v>1366.86771</v>
      </c>
      <c r="H23" t="s">
        <v>6</v>
      </c>
      <c r="I23">
        <f>Sources!F39</f>
        <v>148.56</v>
      </c>
      <c r="J23" s="1">
        <f t="shared" ref="J23:J28" si="22">2.7*2.7 + (2.7*2.7*0.3)</f>
        <v>9.4770000000000003</v>
      </c>
      <c r="K23">
        <f t="shared" ref="K23:K27" si="23">I23*J23</f>
        <v>1407.9031200000002</v>
      </c>
      <c r="N23" t="s">
        <v>6</v>
      </c>
      <c r="O23">
        <f>Sources!F60</f>
        <v>153.02000000000001</v>
      </c>
      <c r="P23" s="1">
        <f t="shared" ref="P23:P28" si="24">2.7*2.7 + (2.7*2.7*0.3)</f>
        <v>9.4770000000000003</v>
      </c>
      <c r="Q23">
        <f t="shared" ref="Q23:Q27" si="25">O23*P23</f>
        <v>1450.1705400000001</v>
      </c>
      <c r="T23" t="s">
        <v>6</v>
      </c>
      <c r="U23">
        <f>Sources!F81</f>
        <v>157.61000000000001</v>
      </c>
      <c r="V23" s="1">
        <f t="shared" ref="V23:V28" si="26">2.7*2.7 + (2.7*2.7*0.3)</f>
        <v>9.4770000000000003</v>
      </c>
      <c r="W23">
        <f t="shared" ref="W23:W27" si="27">U23*V23</f>
        <v>1493.6699700000001</v>
      </c>
      <c r="Z23" t="s">
        <v>6</v>
      </c>
      <c r="AA23">
        <f>Sources!F102</f>
        <v>160.91999999999999</v>
      </c>
      <c r="AB23" s="1">
        <f t="shared" ref="AB23:AB28" si="28">2.7*2.7 + (2.7*2.7*0.3)</f>
        <v>9.4770000000000003</v>
      </c>
      <c r="AC23">
        <f t="shared" ref="AC23:AC27" si="29">AA23*AB23</f>
        <v>1525.0388399999999</v>
      </c>
    </row>
    <row r="24" spans="1:29" x14ac:dyDescent="0.25">
      <c r="B24" t="s">
        <v>11</v>
      </c>
      <c r="C24">
        <f>Sources!F19</f>
        <v>47.77</v>
      </c>
      <c r="D24" s="1">
        <f t="shared" si="20"/>
        <v>9.4770000000000003</v>
      </c>
      <c r="E24">
        <f t="shared" si="21"/>
        <v>452.71629000000007</v>
      </c>
      <c r="H24" t="s">
        <v>11</v>
      </c>
      <c r="I24">
        <f>Sources!F40</f>
        <v>49.21</v>
      </c>
      <c r="J24" s="1">
        <f t="shared" si="22"/>
        <v>9.4770000000000003</v>
      </c>
      <c r="K24">
        <f t="shared" si="23"/>
        <v>466.36317000000003</v>
      </c>
      <c r="N24" t="s">
        <v>11</v>
      </c>
      <c r="O24">
        <f>Sources!F61</f>
        <v>61.3</v>
      </c>
      <c r="P24" s="1">
        <f t="shared" si="24"/>
        <v>9.4770000000000003</v>
      </c>
      <c r="Q24">
        <f t="shared" si="25"/>
        <v>580.94010000000003</v>
      </c>
      <c r="T24" t="s">
        <v>11</v>
      </c>
      <c r="U24">
        <f>Sources!F82</f>
        <v>52.2</v>
      </c>
      <c r="V24" s="1">
        <f t="shared" si="26"/>
        <v>9.4770000000000003</v>
      </c>
      <c r="W24">
        <f t="shared" si="27"/>
        <v>494.69940000000003</v>
      </c>
      <c r="Z24" t="s">
        <v>11</v>
      </c>
      <c r="AA24">
        <f>Sources!F103</f>
        <v>53.3</v>
      </c>
      <c r="AB24" s="1">
        <f t="shared" si="28"/>
        <v>9.4770000000000003</v>
      </c>
      <c r="AC24">
        <f t="shared" si="29"/>
        <v>505.1241</v>
      </c>
    </row>
    <row r="25" spans="1:29" x14ac:dyDescent="0.25">
      <c r="B25" t="s">
        <v>14</v>
      </c>
      <c r="C25">
        <f>Sources!F20</f>
        <v>48.02</v>
      </c>
      <c r="D25" s="1">
        <f t="shared" si="20"/>
        <v>9.4770000000000003</v>
      </c>
      <c r="E25">
        <f t="shared" si="21"/>
        <v>455.08554000000004</v>
      </c>
      <c r="H25" t="s">
        <v>14</v>
      </c>
      <c r="I25">
        <f>Sources!F41</f>
        <v>49.46</v>
      </c>
      <c r="J25" s="1">
        <f t="shared" si="22"/>
        <v>9.4770000000000003</v>
      </c>
      <c r="K25">
        <f t="shared" si="23"/>
        <v>468.73242000000005</v>
      </c>
      <c r="N25" t="s">
        <v>14</v>
      </c>
      <c r="O25">
        <f>Sources!F62</f>
        <v>50.95</v>
      </c>
      <c r="P25" s="1">
        <f t="shared" si="24"/>
        <v>9.4770000000000003</v>
      </c>
      <c r="Q25">
        <f t="shared" si="25"/>
        <v>482.85315000000003</v>
      </c>
      <c r="T25" t="s">
        <v>14</v>
      </c>
      <c r="U25">
        <f>Sources!F83</f>
        <v>52.48</v>
      </c>
      <c r="V25" s="1">
        <f t="shared" si="26"/>
        <v>9.4770000000000003</v>
      </c>
      <c r="W25">
        <f t="shared" si="27"/>
        <v>497.35296</v>
      </c>
      <c r="Z25" t="s">
        <v>14</v>
      </c>
      <c r="AA25">
        <f>Sources!F104</f>
        <v>53.58</v>
      </c>
      <c r="AB25" s="1">
        <f t="shared" si="28"/>
        <v>9.4770000000000003</v>
      </c>
      <c r="AC25">
        <f t="shared" si="29"/>
        <v>507.77766000000003</v>
      </c>
    </row>
    <row r="26" spans="1:29" x14ac:dyDescent="0.25">
      <c r="B26" t="s">
        <v>18</v>
      </c>
      <c r="C26">
        <f>Sources!F21</f>
        <v>66.11</v>
      </c>
      <c r="D26" s="1">
        <f t="shared" si="20"/>
        <v>9.4770000000000003</v>
      </c>
      <c r="E26">
        <f t="shared" si="21"/>
        <v>626.52447000000006</v>
      </c>
      <c r="H26" t="s">
        <v>18</v>
      </c>
      <c r="I26">
        <f>Sources!F42</f>
        <v>68.09</v>
      </c>
      <c r="J26" s="1">
        <f t="shared" si="22"/>
        <v>9.4770000000000003</v>
      </c>
      <c r="K26">
        <f t="shared" si="23"/>
        <v>645.28893000000005</v>
      </c>
      <c r="N26" t="s">
        <v>18</v>
      </c>
      <c r="O26">
        <f>Sources!F63</f>
        <v>70.14</v>
      </c>
      <c r="P26" s="1">
        <f t="shared" si="24"/>
        <v>9.4770000000000003</v>
      </c>
      <c r="Q26">
        <f t="shared" si="25"/>
        <v>664.71677999999997</v>
      </c>
      <c r="T26" t="s">
        <v>18</v>
      </c>
      <c r="U26">
        <f>Sources!F84</f>
        <v>72.239999999999995</v>
      </c>
      <c r="V26" s="1">
        <f t="shared" si="26"/>
        <v>9.4770000000000003</v>
      </c>
      <c r="W26">
        <f t="shared" si="27"/>
        <v>684.61847999999998</v>
      </c>
      <c r="Z26" t="s">
        <v>18</v>
      </c>
      <c r="AA26">
        <f>Sources!F105</f>
        <v>73.760000000000005</v>
      </c>
      <c r="AB26" s="1">
        <f t="shared" si="28"/>
        <v>9.4770000000000003</v>
      </c>
      <c r="AC26">
        <f t="shared" si="29"/>
        <v>699.02352000000008</v>
      </c>
    </row>
    <row r="27" spans="1:29" x14ac:dyDescent="0.25">
      <c r="B27" t="s">
        <v>16</v>
      </c>
      <c r="C27">
        <f>Sources!F22</f>
        <v>48.56</v>
      </c>
      <c r="D27" s="1">
        <f t="shared" si="20"/>
        <v>9.4770000000000003</v>
      </c>
      <c r="E27">
        <f t="shared" si="21"/>
        <v>460.20312000000001</v>
      </c>
      <c r="H27" t="s">
        <v>16</v>
      </c>
      <c r="I27">
        <f>Sources!F43</f>
        <v>50.02</v>
      </c>
      <c r="J27" s="1">
        <f t="shared" si="22"/>
        <v>9.4770000000000003</v>
      </c>
      <c r="K27">
        <f t="shared" si="23"/>
        <v>474.03954000000004</v>
      </c>
      <c r="N27" t="s">
        <v>16</v>
      </c>
      <c r="O27">
        <f>Sources!F64</f>
        <v>51.52</v>
      </c>
      <c r="P27" s="1">
        <f t="shared" si="24"/>
        <v>9.4770000000000003</v>
      </c>
      <c r="Q27">
        <f t="shared" si="25"/>
        <v>488.25504000000006</v>
      </c>
      <c r="T27" t="s">
        <v>16</v>
      </c>
      <c r="U27">
        <f>Sources!F85</f>
        <v>53.07</v>
      </c>
      <c r="V27" s="1">
        <f t="shared" si="26"/>
        <v>9.4770000000000003</v>
      </c>
      <c r="W27">
        <f t="shared" si="27"/>
        <v>502.94439</v>
      </c>
      <c r="Z27" t="s">
        <v>16</v>
      </c>
      <c r="AA27">
        <f>Sources!F106</f>
        <v>54.18</v>
      </c>
      <c r="AB27" s="1">
        <f t="shared" si="28"/>
        <v>9.4770000000000003</v>
      </c>
      <c r="AC27">
        <f t="shared" si="29"/>
        <v>513.46386000000007</v>
      </c>
    </row>
    <row r="28" spans="1:29" x14ac:dyDescent="0.25">
      <c r="B28" t="s">
        <v>17</v>
      </c>
      <c r="C28" s="2">
        <f>Sources!F23</f>
        <v>53.76</v>
      </c>
      <c r="D28" s="1">
        <f t="shared" si="20"/>
        <v>9.4770000000000003</v>
      </c>
      <c r="E28">
        <f>C28*D28</f>
        <v>509.48352</v>
      </c>
      <c r="H28" t="s">
        <v>17</v>
      </c>
      <c r="I28">
        <f>Sources!F44</f>
        <v>55.37</v>
      </c>
      <c r="J28" s="1">
        <f t="shared" si="22"/>
        <v>9.4770000000000003</v>
      </c>
      <c r="K28">
        <f>I28*J28</f>
        <v>524.74149</v>
      </c>
      <c r="N28" t="s">
        <v>17</v>
      </c>
      <c r="O28">
        <f>Sources!F65</f>
        <v>57.03</v>
      </c>
      <c r="P28" s="1">
        <f t="shared" si="24"/>
        <v>9.4770000000000003</v>
      </c>
      <c r="Q28">
        <f>O28*P28</f>
        <v>540.47331000000008</v>
      </c>
      <c r="T28" t="s">
        <v>17</v>
      </c>
      <c r="U28">
        <f>Sources!F86</f>
        <v>58.74</v>
      </c>
      <c r="V28" s="1">
        <f t="shared" si="26"/>
        <v>9.4770000000000003</v>
      </c>
      <c r="W28">
        <f>U28*V28</f>
        <v>556.67898000000002</v>
      </c>
      <c r="Z28" t="s">
        <v>17</v>
      </c>
      <c r="AA28">
        <f>Sources!F107</f>
        <v>59.98</v>
      </c>
      <c r="AB28" s="1">
        <f t="shared" si="28"/>
        <v>9.4770000000000003</v>
      </c>
      <c r="AC28">
        <f>AA28*AB28</f>
        <v>568.43046000000004</v>
      </c>
    </row>
    <row r="29" spans="1:29" x14ac:dyDescent="0.25">
      <c r="E29">
        <f>SUM(E22:E28)</f>
        <v>6394.7005200000003</v>
      </c>
      <c r="K29">
        <f>SUM(K22:K28)</f>
        <v>6586.60977</v>
      </c>
      <c r="Q29">
        <f>SUM(Q22:Q28)</f>
        <v>6884.9457299999995</v>
      </c>
      <c r="W29">
        <f>SUM(W22:W28)</f>
        <v>6987.7711800000006</v>
      </c>
      <c r="AC29">
        <f>SUM(AC22:AC28)</f>
        <v>7134.5699100000002</v>
      </c>
    </row>
    <row r="31" spans="1:29" x14ac:dyDescent="0.25">
      <c r="A31" t="s">
        <v>36</v>
      </c>
    </row>
    <row r="32" spans="1:29" x14ac:dyDescent="0.25">
      <c r="A32" s="3" t="s">
        <v>37</v>
      </c>
      <c r="B32" s="3">
        <f>(E9+E19+E29)/3</f>
        <v>5812.1493300000002</v>
      </c>
    </row>
    <row r="33" spans="1:5" x14ac:dyDescent="0.25">
      <c r="A33" s="4" t="s">
        <v>38</v>
      </c>
      <c r="B33" s="4">
        <f>B32*1.55</f>
        <v>9008.8314614999999</v>
      </c>
    </row>
    <row r="40" spans="1:5" x14ac:dyDescent="0.25">
      <c r="A40" t="s">
        <v>10</v>
      </c>
      <c r="C40" t="s">
        <v>22</v>
      </c>
      <c r="D40" t="s">
        <v>21</v>
      </c>
      <c r="E40" t="s">
        <v>20</v>
      </c>
    </row>
    <row r="41" spans="1:5" x14ac:dyDescent="0.25">
      <c r="A41">
        <v>2015</v>
      </c>
      <c r="B41" t="s">
        <v>5</v>
      </c>
      <c r="C41">
        <f>Sources!F42</f>
        <v>68.09</v>
      </c>
      <c r="D41" s="1">
        <v>210</v>
      </c>
      <c r="E41">
        <f>C41*D41</f>
        <v>14298.900000000001</v>
      </c>
    </row>
    <row r="42" spans="1:5" x14ac:dyDescent="0.25">
      <c r="B42" t="s">
        <v>6</v>
      </c>
      <c r="C42">
        <f>Sources!F43</f>
        <v>50.02</v>
      </c>
      <c r="D42" s="1">
        <v>210</v>
      </c>
      <c r="E42">
        <f t="shared" ref="E42:E45" si="30">C42*D42</f>
        <v>10504.2</v>
      </c>
    </row>
    <row r="43" spans="1:5" x14ac:dyDescent="0.25">
      <c r="B43" t="s">
        <v>11</v>
      </c>
      <c r="C43">
        <f>Sources!F44</f>
        <v>55.37</v>
      </c>
      <c r="D43" s="1">
        <v>210</v>
      </c>
      <c r="E43">
        <f t="shared" si="30"/>
        <v>11627.699999999999</v>
      </c>
    </row>
    <row r="44" spans="1:5" x14ac:dyDescent="0.25">
      <c r="B44" t="s">
        <v>14</v>
      </c>
      <c r="C44">
        <f>Sources!F45</f>
        <v>213.23</v>
      </c>
      <c r="D44" s="1">
        <v>210</v>
      </c>
      <c r="E44">
        <f t="shared" si="30"/>
        <v>44778.299999999996</v>
      </c>
    </row>
    <row r="45" spans="1:5" x14ac:dyDescent="0.25">
      <c r="B45" t="s">
        <v>18</v>
      </c>
      <c r="C45">
        <f>Sources!F46</f>
        <v>157.29</v>
      </c>
      <c r="D45" s="1">
        <v>210</v>
      </c>
      <c r="E45">
        <f t="shared" si="30"/>
        <v>33030.9</v>
      </c>
    </row>
    <row r="46" spans="1:5" x14ac:dyDescent="0.25">
      <c r="B46" t="s">
        <v>16</v>
      </c>
      <c r="C46">
        <f>Sources!F47</f>
        <v>36.21</v>
      </c>
      <c r="D46" s="1">
        <v>210</v>
      </c>
      <c r="E46">
        <f>C46*D46</f>
        <v>7604.1</v>
      </c>
    </row>
    <row r="47" spans="1:5" x14ac:dyDescent="0.25">
      <c r="B47" t="s">
        <v>17</v>
      </c>
      <c r="C47">
        <f>Sources!F48</f>
        <v>49.98</v>
      </c>
      <c r="D47" s="1">
        <v>210</v>
      </c>
      <c r="E47">
        <f>C47*D47</f>
        <v>10495.8</v>
      </c>
    </row>
    <row r="48" spans="1:5" x14ac:dyDescent="0.25">
      <c r="E48">
        <f>SUM(E41:E47)</f>
        <v>132339.9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4E3D-C7A1-49FE-9683-5B6FCA9561EC}">
  <dimension ref="A1:G79"/>
  <sheetViews>
    <sheetView tabSelected="1" workbookViewId="0">
      <selection activeCell="D6" sqref="D6"/>
    </sheetView>
  </sheetViews>
  <sheetFormatPr defaultRowHeight="15" x14ac:dyDescent="0.25"/>
  <sheetData>
    <row r="1" spans="1:7" x14ac:dyDescent="0.25">
      <c r="A1" t="s">
        <v>9</v>
      </c>
      <c r="B1" t="s">
        <v>0</v>
      </c>
      <c r="C1" t="s">
        <v>32</v>
      </c>
      <c r="D1" t="s">
        <v>20</v>
      </c>
      <c r="E1" t="s">
        <v>33</v>
      </c>
      <c r="F1" t="s">
        <v>34</v>
      </c>
      <c r="G1" t="s">
        <v>35</v>
      </c>
    </row>
    <row r="2" spans="1:7" x14ac:dyDescent="0.25">
      <c r="A2" t="s">
        <v>10</v>
      </c>
      <c r="B2">
        <v>2015</v>
      </c>
      <c r="C2">
        <v>5345.4836250000008</v>
      </c>
      <c r="D2">
        <f>CalcXsize!E9</f>
        <v>5559.3029700000006</v>
      </c>
    </row>
    <row r="3" spans="1:7" x14ac:dyDescent="0.25">
      <c r="A3" t="s">
        <v>10</v>
      </c>
      <c r="B3">
        <v>2016</v>
      </c>
      <c r="C3">
        <v>5505.9547500000008</v>
      </c>
      <c r="D3">
        <f>CalcXsize!K9</f>
        <v>5726.1929399999999</v>
      </c>
      <c r="E3">
        <f>D3-D2</f>
        <v>166.88996999999927</v>
      </c>
      <c r="F3">
        <f>E3/D2</f>
        <v>3.0019945108334192E-2</v>
      </c>
      <c r="G3">
        <f>AVERAGE(F3:F6)</f>
        <v>2.775170333928826E-2</v>
      </c>
    </row>
    <row r="4" spans="1:7" x14ac:dyDescent="0.25">
      <c r="A4" t="s">
        <v>10</v>
      </c>
      <c r="B4">
        <v>2017</v>
      </c>
      <c r="C4">
        <v>5670.9821249999995</v>
      </c>
      <c r="D4">
        <f>CalcXsize!Q9</f>
        <v>5897.8214100000005</v>
      </c>
      <c r="E4">
        <f t="shared" ref="E4:E6" si="0">D4-D3</f>
        <v>171.62847000000056</v>
      </c>
      <c r="F4">
        <f t="shared" ref="F4:F6" si="1">E4/D3</f>
        <v>2.9972526563172452E-2</v>
      </c>
    </row>
    <row r="5" spans="1:7" x14ac:dyDescent="0.25">
      <c r="A5" t="s">
        <v>10</v>
      </c>
      <c r="B5">
        <v>2018</v>
      </c>
      <c r="C5">
        <v>5841.2036250000001</v>
      </c>
      <c r="D5">
        <f>CalcXsize!W9</f>
        <v>6074.8517699999993</v>
      </c>
      <c r="E5">
        <f t="shared" si="0"/>
        <v>177.03035999999884</v>
      </c>
      <c r="F5">
        <f t="shared" si="1"/>
        <v>3.0016229331704843E-2</v>
      </c>
    </row>
    <row r="6" spans="1:7" x14ac:dyDescent="0.25">
      <c r="A6" t="s">
        <v>10</v>
      </c>
      <c r="B6">
        <v>2019</v>
      </c>
      <c r="C6">
        <v>5963.8578750000006</v>
      </c>
      <c r="D6">
        <f>CalcXsize!AC9</f>
        <v>6202.41219</v>
      </c>
      <c r="E6">
        <f t="shared" si="0"/>
        <v>127.5604200000007</v>
      </c>
      <c r="F6">
        <f t="shared" si="1"/>
        <v>2.0998112353941556E-2</v>
      </c>
    </row>
    <row r="7" spans="1:7" x14ac:dyDescent="0.25">
      <c r="A7" t="s">
        <v>10</v>
      </c>
      <c r="B7">
        <v>2020</v>
      </c>
      <c r="C7">
        <v>6137.0956125000002</v>
      </c>
    </row>
    <row r="8" spans="1:7" x14ac:dyDescent="0.25">
      <c r="A8" t="s">
        <v>10</v>
      </c>
      <c r="B8">
        <v>2021</v>
      </c>
      <c r="C8">
        <v>6294.2953500000003</v>
      </c>
    </row>
    <row r="9" spans="1:7" x14ac:dyDescent="0.25">
      <c r="A9" t="s">
        <v>10</v>
      </c>
      <c r="B9">
        <v>2022</v>
      </c>
      <c r="C9">
        <v>6451.4950875000004</v>
      </c>
    </row>
    <row r="10" spans="1:7" x14ac:dyDescent="0.25">
      <c r="A10" t="s">
        <v>10</v>
      </c>
      <c r="B10">
        <v>2023</v>
      </c>
      <c r="C10">
        <v>6608.6948249999996</v>
      </c>
    </row>
    <row r="11" spans="1:7" x14ac:dyDescent="0.25">
      <c r="A11" t="s">
        <v>10</v>
      </c>
      <c r="B11">
        <v>2024</v>
      </c>
      <c r="C11">
        <v>6765.8945624999997</v>
      </c>
    </row>
    <row r="12" spans="1:7" x14ac:dyDescent="0.25">
      <c r="A12" t="s">
        <v>10</v>
      </c>
      <c r="B12">
        <v>2025</v>
      </c>
      <c r="C12">
        <v>6923.0942999999997</v>
      </c>
    </row>
    <row r="13" spans="1:7" x14ac:dyDescent="0.25">
      <c r="A13" t="s">
        <v>10</v>
      </c>
      <c r="B13">
        <v>2026</v>
      </c>
      <c r="C13">
        <v>7080.2940374999998</v>
      </c>
    </row>
    <row r="14" spans="1:7" x14ac:dyDescent="0.25">
      <c r="A14" t="s">
        <v>10</v>
      </c>
      <c r="B14">
        <v>2027</v>
      </c>
      <c r="C14">
        <v>7237.4937749999999</v>
      </c>
    </row>
    <row r="15" spans="1:7" x14ac:dyDescent="0.25">
      <c r="A15" t="s">
        <v>10</v>
      </c>
      <c r="B15">
        <v>2028</v>
      </c>
      <c r="C15">
        <v>7394.6935125</v>
      </c>
    </row>
    <row r="16" spans="1:7" x14ac:dyDescent="0.25">
      <c r="A16" t="s">
        <v>10</v>
      </c>
      <c r="B16">
        <v>2029</v>
      </c>
      <c r="C16">
        <v>7551.8932500000001</v>
      </c>
    </row>
    <row r="17" spans="1:7" x14ac:dyDescent="0.25">
      <c r="A17" t="s">
        <v>10</v>
      </c>
      <c r="B17">
        <v>2030</v>
      </c>
      <c r="C17">
        <v>7709.0929875000002</v>
      </c>
    </row>
    <row r="18" spans="1:7" x14ac:dyDescent="0.25">
      <c r="A18" t="s">
        <v>10</v>
      </c>
      <c r="B18">
        <v>2031</v>
      </c>
      <c r="C18">
        <v>7866.2927250000002</v>
      </c>
    </row>
    <row r="19" spans="1:7" x14ac:dyDescent="0.25">
      <c r="A19" t="s">
        <v>10</v>
      </c>
      <c r="B19">
        <v>2032</v>
      </c>
      <c r="C19">
        <v>8023.4924625000003</v>
      </c>
    </row>
    <row r="20" spans="1:7" x14ac:dyDescent="0.25">
      <c r="A20" t="s">
        <v>10</v>
      </c>
      <c r="B20">
        <v>2033</v>
      </c>
      <c r="C20">
        <v>8180.6922000000004</v>
      </c>
    </row>
    <row r="21" spans="1:7" x14ac:dyDescent="0.25">
      <c r="A21" t="s">
        <v>10</v>
      </c>
      <c r="B21">
        <v>2034</v>
      </c>
      <c r="C21">
        <v>8337.8919375000005</v>
      </c>
    </row>
    <row r="22" spans="1:7" x14ac:dyDescent="0.25">
      <c r="A22" t="s">
        <v>10</v>
      </c>
      <c r="B22">
        <v>2035</v>
      </c>
      <c r="C22">
        <v>8495.0916749999997</v>
      </c>
    </row>
    <row r="23" spans="1:7" x14ac:dyDescent="0.25">
      <c r="A23" t="s">
        <v>10</v>
      </c>
      <c r="B23">
        <v>2036</v>
      </c>
      <c r="C23">
        <v>8652.2914125000007</v>
      </c>
    </row>
    <row r="24" spans="1:7" x14ac:dyDescent="0.25">
      <c r="A24" t="s">
        <v>10</v>
      </c>
      <c r="B24">
        <v>2037</v>
      </c>
      <c r="C24">
        <v>8809.4911499999998</v>
      </c>
    </row>
    <row r="25" spans="1:7" x14ac:dyDescent="0.25">
      <c r="A25" t="s">
        <v>10</v>
      </c>
      <c r="B25">
        <v>2038</v>
      </c>
      <c r="C25">
        <v>8966.6908875000008</v>
      </c>
    </row>
    <row r="26" spans="1:7" x14ac:dyDescent="0.25">
      <c r="A26" t="s">
        <v>10</v>
      </c>
      <c r="B26">
        <v>2039</v>
      </c>
      <c r="C26">
        <v>9123.890625</v>
      </c>
    </row>
    <row r="27" spans="1:7" x14ac:dyDescent="0.25">
      <c r="A27" t="s">
        <v>10</v>
      </c>
      <c r="B27">
        <v>2040</v>
      </c>
      <c r="C27">
        <v>9281.0903624999992</v>
      </c>
    </row>
    <row r="28" spans="1:7" x14ac:dyDescent="0.25">
      <c r="A28" t="s">
        <v>23</v>
      </c>
      <c r="B28">
        <v>2015</v>
      </c>
      <c r="C28">
        <v>5271.5812500000011</v>
      </c>
      <c r="D28">
        <f>CalcXsize!E19</f>
        <v>5482.4445000000005</v>
      </c>
    </row>
    <row r="29" spans="1:7" x14ac:dyDescent="0.25">
      <c r="A29" t="s">
        <v>23</v>
      </c>
      <c r="B29">
        <v>2016</v>
      </c>
      <c r="C29">
        <v>5429.8653750000003</v>
      </c>
      <c r="D29">
        <f>CalcXsize!K19</f>
        <v>5647.0599899999997</v>
      </c>
      <c r="E29">
        <f>D29-D28</f>
        <v>164.61548999999923</v>
      </c>
      <c r="F29">
        <f>E29/D28</f>
        <v>3.002592912705258E-2</v>
      </c>
      <c r="G29">
        <f>AVERAGE(F29:F32)</f>
        <v>2.7754909426749234E-2</v>
      </c>
    </row>
    <row r="30" spans="1:7" x14ac:dyDescent="0.25">
      <c r="A30" t="s">
        <v>23</v>
      </c>
      <c r="B30">
        <v>2017</v>
      </c>
      <c r="C30">
        <v>5592.7057500000001</v>
      </c>
      <c r="D30">
        <f>CalcXsize!Q19</f>
        <v>5816.4139800000003</v>
      </c>
      <c r="E30">
        <f t="shared" ref="E30:E32" si="2">D30-D29</f>
        <v>169.35399000000052</v>
      </c>
      <c r="F30">
        <f t="shared" ref="F30:F32" si="3">E30/D29</f>
        <v>2.9989762867739703E-2</v>
      </c>
    </row>
    <row r="31" spans="1:7" x14ac:dyDescent="0.25">
      <c r="A31" t="s">
        <v>23</v>
      </c>
      <c r="B31">
        <v>2018</v>
      </c>
      <c r="C31">
        <v>5760.3757500000011</v>
      </c>
      <c r="D31">
        <f>CalcXsize!W19</f>
        <v>5990.7907800000003</v>
      </c>
      <c r="E31">
        <f t="shared" si="2"/>
        <v>174.3768</v>
      </c>
      <c r="F31">
        <f t="shared" si="3"/>
        <v>2.9980121875712841E-2</v>
      </c>
    </row>
    <row r="32" spans="1:7" x14ac:dyDescent="0.25">
      <c r="A32" t="s">
        <v>23</v>
      </c>
      <c r="B32">
        <v>2019</v>
      </c>
      <c r="C32">
        <v>5881.4808750000002</v>
      </c>
      <c r="D32">
        <f>CalcXsize!AC19</f>
        <v>6116.7401099999997</v>
      </c>
      <c r="E32">
        <f t="shared" si="2"/>
        <v>125.94932999999946</v>
      </c>
      <c r="F32">
        <f t="shared" si="3"/>
        <v>2.1023823836491824E-2</v>
      </c>
    </row>
    <row r="33" spans="1:3" x14ac:dyDescent="0.25">
      <c r="A33" t="s">
        <v>23</v>
      </c>
      <c r="B33">
        <v>2020</v>
      </c>
      <c r="C33">
        <v>6052.2946874999998</v>
      </c>
    </row>
    <row r="34" spans="1:3" x14ac:dyDescent="0.25">
      <c r="A34" t="s">
        <v>23</v>
      </c>
      <c r="B34">
        <v>2021</v>
      </c>
      <c r="C34">
        <v>6207.3256499999998</v>
      </c>
    </row>
    <row r="35" spans="1:3" x14ac:dyDescent="0.25">
      <c r="A35" t="s">
        <v>23</v>
      </c>
      <c r="B35">
        <v>2022</v>
      </c>
      <c r="C35">
        <v>6362.3566124999998</v>
      </c>
    </row>
    <row r="36" spans="1:3" x14ac:dyDescent="0.25">
      <c r="A36" t="s">
        <v>23</v>
      </c>
      <c r="B36">
        <v>2023</v>
      </c>
      <c r="C36">
        <v>6517.3875749999997</v>
      </c>
    </row>
    <row r="37" spans="1:3" x14ac:dyDescent="0.25">
      <c r="A37" t="s">
        <v>23</v>
      </c>
      <c r="B37">
        <v>2024</v>
      </c>
      <c r="C37">
        <v>6672.4185374999997</v>
      </c>
    </row>
    <row r="38" spans="1:3" x14ac:dyDescent="0.25">
      <c r="A38" t="s">
        <v>23</v>
      </c>
      <c r="B38">
        <v>2025</v>
      </c>
      <c r="C38">
        <v>6827.4494999999997</v>
      </c>
    </row>
    <row r="39" spans="1:3" x14ac:dyDescent="0.25">
      <c r="A39" t="s">
        <v>23</v>
      </c>
      <c r="B39">
        <v>2026</v>
      </c>
      <c r="C39">
        <v>6982.4804624999997</v>
      </c>
    </row>
    <row r="40" spans="1:3" x14ac:dyDescent="0.25">
      <c r="A40" t="s">
        <v>23</v>
      </c>
      <c r="B40">
        <v>2027</v>
      </c>
      <c r="C40">
        <v>7137.5114249999997</v>
      </c>
    </row>
    <row r="41" spans="1:3" x14ac:dyDescent="0.25">
      <c r="A41" t="s">
        <v>23</v>
      </c>
      <c r="B41">
        <v>2028</v>
      </c>
      <c r="C41">
        <v>7292.5423874999997</v>
      </c>
    </row>
    <row r="42" spans="1:3" x14ac:dyDescent="0.25">
      <c r="A42" t="s">
        <v>23</v>
      </c>
      <c r="B42">
        <v>2029</v>
      </c>
      <c r="C42">
        <v>7447.5733499999997</v>
      </c>
    </row>
    <row r="43" spans="1:3" x14ac:dyDescent="0.25">
      <c r="A43" t="s">
        <v>23</v>
      </c>
      <c r="B43">
        <v>2030</v>
      </c>
      <c r="C43">
        <v>7602.6043124999997</v>
      </c>
    </row>
    <row r="44" spans="1:3" x14ac:dyDescent="0.25">
      <c r="A44" t="s">
        <v>23</v>
      </c>
      <c r="B44">
        <v>2031</v>
      </c>
      <c r="C44">
        <v>7757.6352749999996</v>
      </c>
    </row>
    <row r="45" spans="1:3" x14ac:dyDescent="0.25">
      <c r="A45" t="s">
        <v>23</v>
      </c>
      <c r="B45">
        <v>2032</v>
      </c>
      <c r="C45">
        <v>7912.6662374999996</v>
      </c>
    </row>
    <row r="46" spans="1:3" x14ac:dyDescent="0.25">
      <c r="A46" t="s">
        <v>23</v>
      </c>
      <c r="B46">
        <v>2033</v>
      </c>
      <c r="C46">
        <v>8067.6971999999996</v>
      </c>
    </row>
    <row r="47" spans="1:3" x14ac:dyDescent="0.25">
      <c r="A47" t="s">
        <v>23</v>
      </c>
      <c r="B47">
        <v>2034</v>
      </c>
      <c r="C47">
        <v>8222.7281624999996</v>
      </c>
    </row>
    <row r="48" spans="1:3" x14ac:dyDescent="0.25">
      <c r="A48" t="s">
        <v>23</v>
      </c>
      <c r="B48">
        <v>2035</v>
      </c>
      <c r="C48">
        <v>8377.7591250000005</v>
      </c>
    </row>
    <row r="49" spans="1:7" x14ac:dyDescent="0.25">
      <c r="A49" t="s">
        <v>23</v>
      </c>
      <c r="B49">
        <v>2036</v>
      </c>
      <c r="C49">
        <v>8532.7900874999996</v>
      </c>
    </row>
    <row r="50" spans="1:7" x14ac:dyDescent="0.25">
      <c r="A50" t="s">
        <v>23</v>
      </c>
      <c r="B50">
        <v>2037</v>
      </c>
      <c r="C50">
        <v>8687.8210500000005</v>
      </c>
    </row>
    <row r="51" spans="1:7" x14ac:dyDescent="0.25">
      <c r="A51" t="s">
        <v>23</v>
      </c>
      <c r="B51">
        <v>2038</v>
      </c>
      <c r="C51">
        <v>8842.8520124999995</v>
      </c>
    </row>
    <row r="52" spans="1:7" x14ac:dyDescent="0.25">
      <c r="A52" t="s">
        <v>23</v>
      </c>
      <c r="B52">
        <v>2039</v>
      </c>
      <c r="C52">
        <v>8997.8829750000004</v>
      </c>
    </row>
    <row r="53" spans="1:7" x14ac:dyDescent="0.25">
      <c r="A53" t="s">
        <v>23</v>
      </c>
      <c r="B53">
        <v>2040</v>
      </c>
      <c r="C53">
        <v>9152.9139374999995</v>
      </c>
    </row>
    <row r="54" spans="1:7" x14ac:dyDescent="0.25">
      <c r="A54" t="s">
        <v>24</v>
      </c>
      <c r="B54">
        <v>2015</v>
      </c>
      <c r="C54">
        <v>6148.7505000000001</v>
      </c>
      <c r="D54">
        <f>CalcXsize!E29</f>
        <v>6394.7005200000003</v>
      </c>
    </row>
    <row r="55" spans="1:7" x14ac:dyDescent="0.25">
      <c r="A55" t="s">
        <v>24</v>
      </c>
      <c r="B55">
        <v>2016</v>
      </c>
      <c r="C55">
        <v>6333.2786249999999</v>
      </c>
      <c r="D55">
        <f>CalcXsize!K29</f>
        <v>6586.60977</v>
      </c>
      <c r="E55">
        <f>D55-D54</f>
        <v>191.9092499999997</v>
      </c>
      <c r="F55">
        <f>E55/D54</f>
        <v>3.0010670460608169E-2</v>
      </c>
      <c r="G55">
        <f>AVERAGE(F55:F58)</f>
        <v>2.7811938465869341E-2</v>
      </c>
    </row>
    <row r="56" spans="1:7" x14ac:dyDescent="0.25">
      <c r="A56" t="s">
        <v>24</v>
      </c>
      <c r="B56">
        <v>2017</v>
      </c>
      <c r="C56">
        <v>6620.1401249999999</v>
      </c>
      <c r="D56">
        <f>CalcXsize!Q29</f>
        <v>6884.9457299999995</v>
      </c>
      <c r="E56">
        <f t="shared" ref="E56:E58" si="4">D56-D55</f>
        <v>298.33595999999943</v>
      </c>
      <c r="F56">
        <f t="shared" ref="F56:F58" si="5">E56/D55</f>
        <v>4.5294312312052977E-2</v>
      </c>
    </row>
    <row r="57" spans="1:7" x14ac:dyDescent="0.25">
      <c r="A57" t="s">
        <v>24</v>
      </c>
      <c r="B57">
        <v>2018</v>
      </c>
      <c r="C57">
        <v>6719.0107500000004</v>
      </c>
      <c r="D57">
        <f>CalcXsize!W29</f>
        <v>6987.7711800000006</v>
      </c>
      <c r="E57">
        <f t="shared" si="4"/>
        <v>102.82545000000118</v>
      </c>
      <c r="F57">
        <f t="shared" si="5"/>
        <v>1.4934823603903875E-2</v>
      </c>
    </row>
    <row r="58" spans="1:7" x14ac:dyDescent="0.25">
      <c r="A58" t="s">
        <v>24</v>
      </c>
      <c r="B58">
        <v>2019</v>
      </c>
      <c r="C58">
        <v>6860.1633750000001</v>
      </c>
      <c r="D58">
        <f>CalcXsize!AC29</f>
        <v>7134.5699100000002</v>
      </c>
      <c r="E58">
        <f t="shared" si="4"/>
        <v>146.79872999999952</v>
      </c>
      <c r="F58">
        <f t="shared" si="5"/>
        <v>2.1007947486912346E-2</v>
      </c>
    </row>
    <row r="59" spans="1:7" x14ac:dyDescent="0.25">
      <c r="A59" t="s">
        <v>24</v>
      </c>
      <c r="B59">
        <v>2020</v>
      </c>
      <c r="C59">
        <v>7078.8360375000002</v>
      </c>
    </row>
    <row r="60" spans="1:7" x14ac:dyDescent="0.25">
      <c r="A60" t="s">
        <v>24</v>
      </c>
      <c r="B60">
        <v>2021</v>
      </c>
      <c r="C60">
        <v>7259.6918249999999</v>
      </c>
    </row>
    <row r="61" spans="1:7" x14ac:dyDescent="0.25">
      <c r="A61" t="s">
        <v>24</v>
      </c>
      <c r="B61">
        <v>2022</v>
      </c>
      <c r="C61">
        <v>7440.5476124999996</v>
      </c>
    </row>
    <row r="62" spans="1:7" x14ac:dyDescent="0.25">
      <c r="A62" t="s">
        <v>24</v>
      </c>
      <c r="B62">
        <v>2023</v>
      </c>
      <c r="C62">
        <v>7621.4034000000001</v>
      </c>
    </row>
    <row r="63" spans="1:7" x14ac:dyDescent="0.25">
      <c r="A63" t="s">
        <v>24</v>
      </c>
      <c r="B63">
        <v>2024</v>
      </c>
      <c r="C63">
        <v>7802.2591874999998</v>
      </c>
    </row>
    <row r="64" spans="1:7" x14ac:dyDescent="0.25">
      <c r="A64" t="s">
        <v>24</v>
      </c>
      <c r="B64">
        <v>2025</v>
      </c>
      <c r="C64">
        <v>7983.1149750000004</v>
      </c>
    </row>
    <row r="65" spans="1:3" x14ac:dyDescent="0.25">
      <c r="A65" t="s">
        <v>24</v>
      </c>
      <c r="B65">
        <v>2026</v>
      </c>
      <c r="C65">
        <v>8163.9707625000001</v>
      </c>
    </row>
    <row r="66" spans="1:3" x14ac:dyDescent="0.25">
      <c r="A66" t="s">
        <v>24</v>
      </c>
      <c r="B66">
        <v>2027</v>
      </c>
      <c r="C66">
        <v>8344.8265499999998</v>
      </c>
    </row>
    <row r="67" spans="1:3" x14ac:dyDescent="0.25">
      <c r="A67" t="s">
        <v>24</v>
      </c>
      <c r="B67">
        <v>2028</v>
      </c>
      <c r="C67">
        <v>8525.6823375000004</v>
      </c>
    </row>
    <row r="68" spans="1:3" x14ac:dyDescent="0.25">
      <c r="A68" t="s">
        <v>24</v>
      </c>
      <c r="B68">
        <v>2029</v>
      </c>
      <c r="C68">
        <v>8706.5381249999991</v>
      </c>
    </row>
    <row r="69" spans="1:3" x14ac:dyDescent="0.25">
      <c r="A69" t="s">
        <v>24</v>
      </c>
      <c r="B69">
        <v>2030</v>
      </c>
      <c r="C69">
        <v>8887.3939124999997</v>
      </c>
    </row>
    <row r="70" spans="1:3" x14ac:dyDescent="0.25">
      <c r="A70" t="s">
        <v>24</v>
      </c>
      <c r="B70">
        <v>2031</v>
      </c>
      <c r="C70">
        <v>9068.2497000000003</v>
      </c>
    </row>
    <row r="71" spans="1:3" x14ac:dyDescent="0.25">
      <c r="A71" t="s">
        <v>24</v>
      </c>
      <c r="B71">
        <v>2032</v>
      </c>
      <c r="C71">
        <v>9249.1054875000009</v>
      </c>
    </row>
    <row r="72" spans="1:3" x14ac:dyDescent="0.25">
      <c r="A72" t="s">
        <v>24</v>
      </c>
      <c r="B72">
        <v>2033</v>
      </c>
      <c r="C72">
        <v>9429.9612749999997</v>
      </c>
    </row>
    <row r="73" spans="1:3" x14ac:dyDescent="0.25">
      <c r="A73" t="s">
        <v>24</v>
      </c>
      <c r="B73">
        <v>2034</v>
      </c>
      <c r="C73">
        <v>9610.8170625000002</v>
      </c>
    </row>
    <row r="74" spans="1:3" x14ac:dyDescent="0.25">
      <c r="A74" t="s">
        <v>24</v>
      </c>
      <c r="B74">
        <v>2035</v>
      </c>
      <c r="C74">
        <v>9791.6728500000008</v>
      </c>
    </row>
    <row r="75" spans="1:3" x14ac:dyDescent="0.25">
      <c r="A75" t="s">
        <v>24</v>
      </c>
      <c r="B75">
        <v>2036</v>
      </c>
      <c r="C75">
        <v>9972.5286374999996</v>
      </c>
    </row>
    <row r="76" spans="1:3" x14ac:dyDescent="0.25">
      <c r="A76" t="s">
        <v>24</v>
      </c>
      <c r="B76">
        <v>2037</v>
      </c>
      <c r="C76">
        <v>10153.384425</v>
      </c>
    </row>
    <row r="77" spans="1:3" x14ac:dyDescent="0.25">
      <c r="A77" t="s">
        <v>24</v>
      </c>
      <c r="B77">
        <v>2038</v>
      </c>
      <c r="C77">
        <v>10334.240212500001</v>
      </c>
    </row>
    <row r="78" spans="1:3" x14ac:dyDescent="0.25">
      <c r="A78" t="s">
        <v>24</v>
      </c>
      <c r="B78">
        <v>2039</v>
      </c>
      <c r="C78">
        <v>10515.096</v>
      </c>
    </row>
    <row r="79" spans="1:3" x14ac:dyDescent="0.25">
      <c r="A79" t="s">
        <v>24</v>
      </c>
      <c r="B79">
        <v>2040</v>
      </c>
      <c r="C79">
        <v>10695.9517875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</vt:lpstr>
      <vt:lpstr>CalcXsize</vt:lpstr>
      <vt:lpstr>Projections</vt:lpstr>
    </vt:vector>
  </TitlesOfParts>
  <Company>The University of Sheffield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Edgar Mauricio Poco Aguilar</dc:creator>
  <cp:lastModifiedBy>Sergio Edgar Mauricio Poco Aguilar</cp:lastModifiedBy>
  <dcterms:created xsi:type="dcterms:W3CDTF">2023-07-24T09:10:00Z</dcterms:created>
  <dcterms:modified xsi:type="dcterms:W3CDTF">2023-08-09T15:57:56Z</dcterms:modified>
</cp:coreProperties>
</file>